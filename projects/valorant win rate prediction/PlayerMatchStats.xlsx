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damo/Documents/"/>
    </mc:Choice>
  </mc:AlternateContent>
  <xr:revisionPtr revIDLastSave="0" documentId="13_ncr:1_{69ECA6BD-C397-AC4C-9AE6-B844C8748420}" xr6:coauthVersionLast="47" xr6:coauthVersionMax="47" xr10:uidLastSave="{00000000-0000-0000-0000-000000000000}"/>
  <bookViews>
    <workbookView xWindow="1180" yWindow="-15760" windowWidth="27640" windowHeight="15580" xr2:uid="{A3D40093-8921-E84C-BE29-4384F69CE6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41" i="1"/>
  <c r="B42" i="1"/>
  <c r="B43" i="1"/>
  <c r="B44" i="1"/>
  <c r="B45" i="1"/>
  <c r="B46" i="1"/>
  <c r="B47" i="1"/>
  <c r="B48" i="1"/>
  <c r="B49" i="1"/>
  <c r="B50" i="1"/>
  <c r="B51" i="1"/>
  <c r="B32" i="1"/>
  <c r="B33" i="1"/>
  <c r="B34" i="1"/>
  <c r="B35" i="1"/>
  <c r="B36" i="1"/>
  <c r="B37" i="1"/>
  <c r="B38" i="1"/>
  <c r="B39" i="1"/>
  <c r="B40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<sst xmlns="http://schemas.openxmlformats.org/spreadsheetml/2006/main" count="321" uniqueCount="48">
  <si>
    <t>id</t>
  </si>
  <si>
    <t>match_id</t>
  </si>
  <si>
    <t>player_id</t>
  </si>
  <si>
    <t>MATCH_001_ACE</t>
  </si>
  <si>
    <t>Ace SD</t>
  </si>
  <si>
    <t>Reyna</t>
  </si>
  <si>
    <t>Duelist</t>
  </si>
  <si>
    <t>ADR</t>
  </si>
  <si>
    <t>HS%</t>
  </si>
  <si>
    <t>ACS</t>
  </si>
  <si>
    <t>ASSISTS</t>
  </si>
  <si>
    <t>DEATHS</t>
  </si>
  <si>
    <t>KILLS</t>
  </si>
  <si>
    <t>AGENT</t>
  </si>
  <si>
    <t>ROLE</t>
  </si>
  <si>
    <t>KAST%</t>
  </si>
  <si>
    <t>FIRST KILL</t>
  </si>
  <si>
    <t>FIRST DEATH</t>
  </si>
  <si>
    <t>MULTI KILLS</t>
  </si>
  <si>
    <t>MATCH_002_ACE</t>
  </si>
  <si>
    <t>Initiator</t>
  </si>
  <si>
    <t>Sova</t>
  </si>
  <si>
    <t>MATCH_003_ACE</t>
  </si>
  <si>
    <t>Waylay</t>
  </si>
  <si>
    <t>MATCH_004_ACE</t>
  </si>
  <si>
    <t>Neon</t>
  </si>
  <si>
    <t>MATCH_005_ACE</t>
  </si>
  <si>
    <t>MATCH_006_ACE</t>
  </si>
  <si>
    <t>Yoru</t>
  </si>
  <si>
    <t>Fade</t>
  </si>
  <si>
    <t>Sentinel</t>
  </si>
  <si>
    <t>Vyse</t>
  </si>
  <si>
    <t>Deadlock</t>
  </si>
  <si>
    <t>Chamber</t>
  </si>
  <si>
    <t>Skye</t>
  </si>
  <si>
    <t>Sage</t>
  </si>
  <si>
    <t>Controller</t>
  </si>
  <si>
    <t>Astra</t>
  </si>
  <si>
    <t>Jett</t>
  </si>
  <si>
    <t>Raze</t>
  </si>
  <si>
    <t>rrraisuuu</t>
  </si>
  <si>
    <t>Clove</t>
  </si>
  <si>
    <t>Omen</t>
  </si>
  <si>
    <t>Killjoy</t>
  </si>
  <si>
    <t>Cypher</t>
  </si>
  <si>
    <t>Gekko</t>
  </si>
  <si>
    <t>Breach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</si>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</sst>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002B-ECF7-6F43-9C32-4CCDF42FFA76}">
  <dimension ref="A1:O101"/>
  <sheetViews>
    <sheetView tabSelected="1" zoomScale="99" workbookViewId="0">
      <selection activeCell="P101" sqref="P101"/>
    </sheetView>
  </sheetViews>
  <sheetFormatPr baseColWidth="10" defaultRowHeight="16" x14ac:dyDescent="0.2"/>
  <cols>
    <col min="2" max="2" width="17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9</v>
      </c>
      <c r="G1" t="s">
        <v>12</v>
      </c>
      <c r="H1" t="s">
        <v>11</v>
      </c>
      <c r="I1" t="s">
        <v>10</v>
      </c>
      <c r="J1" t="s">
        <v>7</v>
      </c>
      <c r="K1" t="s">
        <v>8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2">
      <c r="A2">
        <v>1</v>
      </c>
      <c r="B2" t="s">
        <v>3</v>
      </c>
      <c r="C2" t="s">
        <v>4</v>
      </c>
      <c r="D2" t="s">
        <v>6</v>
      </c>
      <c r="E2" t="s">
        <v>5</v>
      </c>
      <c r="F2">
        <v>197</v>
      </c>
      <c r="G2">
        <v>15</v>
      </c>
      <c r="H2">
        <v>20</v>
      </c>
      <c r="I2">
        <v>6</v>
      </c>
      <c r="J2">
        <v>132.1</v>
      </c>
      <c r="K2">
        <v>39</v>
      </c>
      <c r="L2">
        <v>58</v>
      </c>
      <c r="M2">
        <v>3</v>
      </c>
      <c r="N2">
        <v>10</v>
      </c>
      <c r="O2">
        <v>0</v>
      </c>
    </row>
    <row r="3" spans="1:15" x14ac:dyDescent="0.2">
      <c r="A3">
        <v>2</v>
      </c>
      <c r="B3" t="s">
        <v>19</v>
      </c>
      <c r="C3" t="s">
        <v>4</v>
      </c>
      <c r="D3" t="s">
        <v>20</v>
      </c>
      <c r="E3" t="s">
        <v>21</v>
      </c>
      <c r="F3">
        <v>218</v>
      </c>
      <c r="G3">
        <v>16</v>
      </c>
      <c r="H3">
        <v>17</v>
      </c>
      <c r="I3">
        <v>2</v>
      </c>
      <c r="J3">
        <v>140.1</v>
      </c>
      <c r="K3">
        <v>35</v>
      </c>
      <c r="L3">
        <v>67</v>
      </c>
      <c r="M3">
        <v>3</v>
      </c>
      <c r="N3">
        <v>2</v>
      </c>
      <c r="O3">
        <v>1</v>
      </c>
    </row>
    <row r="4" spans="1:15" x14ac:dyDescent="0.2">
      <c r="A4">
        <v>3</v>
      </c>
      <c r="B4" t="s">
        <v>22</v>
      </c>
      <c r="C4" t="s">
        <v>4</v>
      </c>
      <c r="D4" t="s">
        <v>6</v>
      </c>
      <c r="E4" t="s">
        <v>23</v>
      </c>
      <c r="F4">
        <v>173</v>
      </c>
      <c r="G4">
        <v>15</v>
      </c>
      <c r="H4">
        <v>18</v>
      </c>
      <c r="I4">
        <v>4</v>
      </c>
      <c r="J4">
        <v>113.7</v>
      </c>
      <c r="K4">
        <v>22</v>
      </c>
      <c r="L4">
        <v>75</v>
      </c>
      <c r="M4">
        <v>3</v>
      </c>
      <c r="N4">
        <v>3</v>
      </c>
      <c r="O4">
        <v>0</v>
      </c>
    </row>
    <row r="5" spans="1:15" x14ac:dyDescent="0.2">
      <c r="A5">
        <v>4</v>
      </c>
      <c r="B5" t="s">
        <v>24</v>
      </c>
      <c r="C5" t="s">
        <v>4</v>
      </c>
      <c r="D5" t="s">
        <v>6</v>
      </c>
      <c r="E5" t="s">
        <v>25</v>
      </c>
      <c r="F5">
        <v>132</v>
      </c>
      <c r="G5">
        <v>5</v>
      </c>
      <c r="H5">
        <v>17</v>
      </c>
      <c r="I5">
        <v>5</v>
      </c>
      <c r="J5">
        <v>106.1</v>
      </c>
      <c r="K5">
        <v>19</v>
      </c>
      <c r="L5">
        <v>56</v>
      </c>
      <c r="M5">
        <v>1</v>
      </c>
      <c r="N5">
        <v>1</v>
      </c>
      <c r="O5">
        <v>0</v>
      </c>
    </row>
    <row r="6" spans="1:15" x14ac:dyDescent="0.2">
      <c r="A6">
        <v>5</v>
      </c>
      <c r="B6" s="1" t="s">
        <v>26</v>
      </c>
      <c r="C6" t="s">
        <v>4</v>
      </c>
      <c r="D6" t="s">
        <v>20</v>
      </c>
      <c r="E6" t="s">
        <v>21</v>
      </c>
      <c r="F6">
        <v>229</v>
      </c>
      <c r="G6">
        <v>19</v>
      </c>
      <c r="H6">
        <v>11</v>
      </c>
      <c r="I6">
        <v>7</v>
      </c>
      <c r="J6">
        <v>159.4</v>
      </c>
      <c r="K6">
        <v>48</v>
      </c>
      <c r="L6">
        <v>76</v>
      </c>
      <c r="M6">
        <v>1</v>
      </c>
      <c r="N6">
        <v>0</v>
      </c>
      <c r="O6">
        <v>2</v>
      </c>
    </row>
    <row r="7" spans="1:15" x14ac:dyDescent="0.2">
      <c r="A7">
        <v>6</v>
      </c>
      <c r="B7" s="1" t="s">
        <v>27</v>
      </c>
      <c r="C7" t="s">
        <v>4</v>
      </c>
      <c r="D7" t="s">
        <v>6</v>
      </c>
      <c r="E7" t="s">
        <v>28</v>
      </c>
      <c r="F7">
        <v>225</v>
      </c>
      <c r="G7">
        <v>16</v>
      </c>
      <c r="H7">
        <v>15</v>
      </c>
      <c r="I7">
        <v>6</v>
      </c>
      <c r="J7">
        <v>155.6</v>
      </c>
      <c r="K7">
        <v>19</v>
      </c>
      <c r="L7">
        <v>67</v>
      </c>
      <c r="M7">
        <v>3</v>
      </c>
      <c r="N7">
        <v>4</v>
      </c>
      <c r="O7">
        <v>0</v>
      </c>
    </row>
    <row r="8" spans="1:15" x14ac:dyDescent="0.2">
      <c r="A8">
        <v>7</v>
      </c>
      <c r="B8" t="str">
        <f t="shared" ref="B8:B51" si="0">"MATCH_" &amp; TEXT(ROW()-1, "000") &amp; "_ACE"</f>
        <v>MATCH_007_ACE</v>
      </c>
      <c r="C8" t="s">
        <v>4</v>
      </c>
      <c r="D8" t="s">
        <v>20</v>
      </c>
      <c r="E8" t="s">
        <v>21</v>
      </c>
      <c r="F8">
        <v>128</v>
      </c>
      <c r="G8">
        <v>11</v>
      </c>
      <c r="H8">
        <v>17</v>
      </c>
      <c r="I8">
        <v>6</v>
      </c>
      <c r="J8">
        <v>81.599999999999994</v>
      </c>
      <c r="K8">
        <v>29</v>
      </c>
      <c r="L8">
        <v>57</v>
      </c>
      <c r="M8">
        <v>0</v>
      </c>
      <c r="N8">
        <v>0</v>
      </c>
      <c r="O8">
        <v>1</v>
      </c>
    </row>
    <row r="9" spans="1:15" x14ac:dyDescent="0.2">
      <c r="A9">
        <v>8</v>
      </c>
      <c r="B9" t="str">
        <f t="shared" si="0"/>
        <v>MATCH_008_ACE</v>
      </c>
      <c r="C9" t="s">
        <v>4</v>
      </c>
      <c r="D9" t="s">
        <v>6</v>
      </c>
      <c r="E9" t="s">
        <v>25</v>
      </c>
      <c r="F9">
        <v>184</v>
      </c>
      <c r="G9">
        <v>17</v>
      </c>
      <c r="H9">
        <v>17</v>
      </c>
      <c r="I9">
        <v>2</v>
      </c>
      <c r="J9">
        <v>121.2</v>
      </c>
      <c r="K9">
        <v>28</v>
      </c>
      <c r="L9">
        <v>71</v>
      </c>
      <c r="M9">
        <v>4</v>
      </c>
      <c r="N9">
        <v>3</v>
      </c>
      <c r="O9">
        <v>0</v>
      </c>
    </row>
    <row r="10" spans="1:15" x14ac:dyDescent="0.2">
      <c r="A10">
        <v>9</v>
      </c>
      <c r="B10" t="str">
        <f t="shared" si="0"/>
        <v>MATCH_009_ACE</v>
      </c>
      <c r="C10" t="s">
        <v>4</v>
      </c>
      <c r="D10" t="s">
        <v>20</v>
      </c>
      <c r="E10" t="s">
        <v>29</v>
      </c>
      <c r="F10">
        <v>223</v>
      </c>
      <c r="G10">
        <v>17</v>
      </c>
      <c r="H10">
        <v>17</v>
      </c>
      <c r="I10">
        <v>6</v>
      </c>
      <c r="J10">
        <v>147.69999999999999</v>
      </c>
      <c r="K10">
        <v>53</v>
      </c>
      <c r="L10">
        <v>67</v>
      </c>
      <c r="M10">
        <v>1</v>
      </c>
      <c r="N10">
        <v>1</v>
      </c>
      <c r="O10">
        <v>1</v>
      </c>
    </row>
    <row r="11" spans="1:15" x14ac:dyDescent="0.2">
      <c r="A11">
        <v>10</v>
      </c>
      <c r="B11" t="str">
        <f t="shared" si="0"/>
        <v>MATCH_010_ACE</v>
      </c>
      <c r="C11" t="s">
        <v>4</v>
      </c>
      <c r="D11" t="s">
        <v>30</v>
      </c>
      <c r="E11" t="s">
        <v>31</v>
      </c>
      <c r="F11">
        <v>171</v>
      </c>
      <c r="G11">
        <v>11</v>
      </c>
      <c r="H11">
        <v>6</v>
      </c>
      <c r="I11">
        <v>3</v>
      </c>
      <c r="J11">
        <v>108.4</v>
      </c>
      <c r="K11">
        <v>31</v>
      </c>
      <c r="L11">
        <v>93</v>
      </c>
      <c r="M11">
        <v>1</v>
      </c>
      <c r="N11">
        <v>0</v>
      </c>
      <c r="O11">
        <v>0</v>
      </c>
    </row>
    <row r="12" spans="1:15" x14ac:dyDescent="0.2">
      <c r="A12">
        <v>11</v>
      </c>
      <c r="B12" t="str">
        <f t="shared" si="0"/>
        <v>MATCH_011_ACE</v>
      </c>
      <c r="C12" t="s">
        <v>4</v>
      </c>
      <c r="D12" t="s">
        <v>30</v>
      </c>
      <c r="E12" t="s">
        <v>32</v>
      </c>
      <c r="F12">
        <v>199</v>
      </c>
      <c r="G12">
        <v>17</v>
      </c>
      <c r="H12">
        <v>13</v>
      </c>
      <c r="I12">
        <v>6</v>
      </c>
      <c r="J12">
        <v>128.6</v>
      </c>
      <c r="K12">
        <v>41</v>
      </c>
      <c r="L12">
        <v>68</v>
      </c>
      <c r="M12">
        <v>0</v>
      </c>
      <c r="N12">
        <v>1</v>
      </c>
      <c r="O12">
        <v>1</v>
      </c>
    </row>
    <row r="13" spans="1:15" x14ac:dyDescent="0.2">
      <c r="A13">
        <v>12</v>
      </c>
      <c r="B13" t="str">
        <f t="shared" si="0"/>
        <v>MATCH_012_ACE</v>
      </c>
      <c r="C13" t="s">
        <v>4</v>
      </c>
      <c r="D13" t="s">
        <v>30</v>
      </c>
      <c r="E13" t="s">
        <v>33</v>
      </c>
      <c r="F13">
        <v>307</v>
      </c>
      <c r="G13">
        <v>23</v>
      </c>
      <c r="H13">
        <v>15</v>
      </c>
      <c r="I13">
        <v>3</v>
      </c>
      <c r="J13">
        <v>198.1</v>
      </c>
      <c r="K13">
        <v>38</v>
      </c>
      <c r="L13">
        <v>76</v>
      </c>
      <c r="M13">
        <v>3</v>
      </c>
      <c r="N13">
        <v>2</v>
      </c>
      <c r="O13">
        <v>2</v>
      </c>
    </row>
    <row r="14" spans="1:15" x14ac:dyDescent="0.2">
      <c r="A14">
        <v>13</v>
      </c>
      <c r="B14" t="str">
        <f t="shared" si="0"/>
        <v>MATCH_013_ACE</v>
      </c>
      <c r="C14" t="s">
        <v>4</v>
      </c>
      <c r="D14" t="s">
        <v>6</v>
      </c>
      <c r="E14" t="s">
        <v>25</v>
      </c>
      <c r="F14">
        <v>327</v>
      </c>
      <c r="G14">
        <v>19</v>
      </c>
      <c r="H14">
        <v>10</v>
      </c>
      <c r="I14">
        <v>3</v>
      </c>
      <c r="J14">
        <v>218.1</v>
      </c>
      <c r="K14">
        <v>15</v>
      </c>
      <c r="L14">
        <v>87</v>
      </c>
      <c r="M14">
        <v>5</v>
      </c>
      <c r="N14">
        <v>1</v>
      </c>
      <c r="O14">
        <v>4</v>
      </c>
    </row>
    <row r="15" spans="1:15" x14ac:dyDescent="0.2">
      <c r="A15">
        <v>14</v>
      </c>
      <c r="B15" t="str">
        <f t="shared" si="0"/>
        <v>MATCH_014_ACE</v>
      </c>
      <c r="C15" t="s">
        <v>4</v>
      </c>
      <c r="D15" t="s">
        <v>6</v>
      </c>
      <c r="E15" t="s">
        <v>28</v>
      </c>
      <c r="F15">
        <v>221</v>
      </c>
      <c r="G15">
        <v>18</v>
      </c>
      <c r="H15">
        <v>14</v>
      </c>
      <c r="I15">
        <v>4</v>
      </c>
      <c r="J15">
        <v>148</v>
      </c>
      <c r="K15">
        <v>26</v>
      </c>
      <c r="L15">
        <v>73</v>
      </c>
      <c r="M15">
        <v>5</v>
      </c>
      <c r="N15">
        <v>2</v>
      </c>
      <c r="O15">
        <v>1</v>
      </c>
    </row>
    <row r="16" spans="1:15" x14ac:dyDescent="0.2">
      <c r="A16">
        <v>15</v>
      </c>
      <c r="B16" t="str">
        <f t="shared" si="0"/>
        <v>MATCH_015_ACE</v>
      </c>
      <c r="C16" t="s">
        <v>4</v>
      </c>
      <c r="D16" t="s">
        <v>20</v>
      </c>
      <c r="E16" t="s">
        <v>34</v>
      </c>
      <c r="F16">
        <v>258</v>
      </c>
      <c r="G16">
        <v>19</v>
      </c>
      <c r="H16">
        <v>15</v>
      </c>
      <c r="I16">
        <v>9</v>
      </c>
      <c r="J16">
        <v>191.1</v>
      </c>
      <c r="K16">
        <v>27</v>
      </c>
      <c r="L16">
        <v>86</v>
      </c>
      <c r="M16">
        <v>3</v>
      </c>
      <c r="N16">
        <v>1</v>
      </c>
      <c r="O16">
        <v>2</v>
      </c>
    </row>
    <row r="17" spans="1:15" x14ac:dyDescent="0.2">
      <c r="A17">
        <v>16</v>
      </c>
      <c r="B17" t="str">
        <f t="shared" si="0"/>
        <v>MATCH_016_ACE</v>
      </c>
      <c r="C17" t="s">
        <v>4</v>
      </c>
      <c r="D17" t="s">
        <v>6</v>
      </c>
      <c r="E17" t="s">
        <v>28</v>
      </c>
      <c r="F17">
        <v>148</v>
      </c>
      <c r="G17">
        <v>9</v>
      </c>
      <c r="H17">
        <v>12</v>
      </c>
      <c r="I17">
        <v>2</v>
      </c>
      <c r="J17">
        <v>101.2</v>
      </c>
      <c r="K17">
        <v>45</v>
      </c>
      <c r="L17">
        <v>82</v>
      </c>
      <c r="M17">
        <v>3</v>
      </c>
      <c r="N17">
        <v>1</v>
      </c>
      <c r="O17">
        <v>0</v>
      </c>
    </row>
    <row r="18" spans="1:15" x14ac:dyDescent="0.2">
      <c r="A18">
        <v>17</v>
      </c>
      <c r="B18" t="str">
        <f t="shared" si="0"/>
        <v>MATCH_017_ACE</v>
      </c>
      <c r="C18" t="s">
        <v>4</v>
      </c>
      <c r="D18" t="s">
        <v>20</v>
      </c>
      <c r="E18" t="s">
        <v>21</v>
      </c>
      <c r="F18">
        <v>194</v>
      </c>
      <c r="G18">
        <v>16</v>
      </c>
      <c r="H18">
        <v>19</v>
      </c>
      <c r="I18">
        <v>5</v>
      </c>
      <c r="J18">
        <v>133.4</v>
      </c>
      <c r="K18">
        <v>39</v>
      </c>
      <c r="L18">
        <v>71</v>
      </c>
      <c r="M18">
        <v>1</v>
      </c>
      <c r="N18">
        <v>3</v>
      </c>
      <c r="O18">
        <v>1</v>
      </c>
    </row>
    <row r="19" spans="1:15" x14ac:dyDescent="0.2">
      <c r="A19">
        <v>18</v>
      </c>
      <c r="B19" t="str">
        <f t="shared" si="0"/>
        <v>MATCH_018_ACE</v>
      </c>
      <c r="C19" t="s">
        <v>4</v>
      </c>
      <c r="D19" t="s">
        <v>20</v>
      </c>
      <c r="E19" t="s">
        <v>29</v>
      </c>
      <c r="F19">
        <v>244</v>
      </c>
      <c r="G19">
        <v>23</v>
      </c>
      <c r="H19">
        <v>15</v>
      </c>
      <c r="I19">
        <v>5</v>
      </c>
      <c r="J19">
        <v>159</v>
      </c>
      <c r="K19">
        <v>45</v>
      </c>
      <c r="L19">
        <v>75</v>
      </c>
      <c r="M19">
        <v>0</v>
      </c>
      <c r="N19">
        <v>1</v>
      </c>
      <c r="O19">
        <v>4</v>
      </c>
    </row>
    <row r="20" spans="1:15" x14ac:dyDescent="0.2">
      <c r="A20">
        <v>19</v>
      </c>
      <c r="B20" t="str">
        <f t="shared" si="0"/>
        <v>MATCH_019_ACE</v>
      </c>
      <c r="C20" t="s">
        <v>4</v>
      </c>
      <c r="D20" t="s">
        <v>6</v>
      </c>
      <c r="E20" t="s">
        <v>28</v>
      </c>
      <c r="F20">
        <v>183</v>
      </c>
      <c r="G20">
        <v>12</v>
      </c>
      <c r="H20">
        <v>13</v>
      </c>
      <c r="I20">
        <v>7</v>
      </c>
      <c r="J20">
        <v>138.4</v>
      </c>
      <c r="K20">
        <v>26</v>
      </c>
      <c r="L20">
        <v>85</v>
      </c>
      <c r="M20">
        <v>3</v>
      </c>
      <c r="N20">
        <v>2</v>
      </c>
      <c r="O20">
        <v>0</v>
      </c>
    </row>
    <row r="21" spans="1:15" x14ac:dyDescent="0.2">
      <c r="A21">
        <v>20</v>
      </c>
      <c r="B21" t="str">
        <f t="shared" si="0"/>
        <v>MATCH_020_ACE</v>
      </c>
      <c r="C21" t="s">
        <v>4</v>
      </c>
      <c r="D21" t="s">
        <v>30</v>
      </c>
      <c r="E21" t="s">
        <v>35</v>
      </c>
      <c r="F21">
        <v>171</v>
      </c>
      <c r="G21">
        <v>14</v>
      </c>
      <c r="H21">
        <v>18</v>
      </c>
      <c r="I21">
        <v>4</v>
      </c>
      <c r="J21">
        <v>113.8</v>
      </c>
      <c r="K21">
        <v>45</v>
      </c>
      <c r="L21">
        <v>68</v>
      </c>
      <c r="M21">
        <v>1</v>
      </c>
      <c r="N21">
        <v>4</v>
      </c>
      <c r="O21">
        <v>2</v>
      </c>
    </row>
    <row r="22" spans="1:15" x14ac:dyDescent="0.2">
      <c r="A22">
        <v>21</v>
      </c>
      <c r="B22" t="str">
        <f t="shared" si="0"/>
        <v>MATCH_021_ACE</v>
      </c>
      <c r="C22" t="s">
        <v>4</v>
      </c>
      <c r="D22" t="s">
        <v>20</v>
      </c>
      <c r="E22" t="s">
        <v>21</v>
      </c>
      <c r="F22">
        <v>408</v>
      </c>
      <c r="G22">
        <v>28</v>
      </c>
      <c r="H22">
        <v>10</v>
      </c>
      <c r="I22">
        <v>3</v>
      </c>
      <c r="J22">
        <v>246.6</v>
      </c>
      <c r="K22">
        <v>42</v>
      </c>
      <c r="L22">
        <v>95</v>
      </c>
      <c r="M22">
        <v>1</v>
      </c>
      <c r="N22">
        <v>0</v>
      </c>
      <c r="O22">
        <v>2</v>
      </c>
    </row>
    <row r="23" spans="1:15" x14ac:dyDescent="0.2">
      <c r="A23">
        <v>22</v>
      </c>
      <c r="B23" t="str">
        <f t="shared" si="0"/>
        <v>MATCH_022_ACE</v>
      </c>
      <c r="C23" t="s">
        <v>4</v>
      </c>
      <c r="D23" t="s">
        <v>20</v>
      </c>
      <c r="E23" t="s">
        <v>21</v>
      </c>
      <c r="F23">
        <v>321</v>
      </c>
      <c r="G23">
        <v>26</v>
      </c>
      <c r="H23">
        <v>12</v>
      </c>
      <c r="I23">
        <v>1</v>
      </c>
      <c r="J23">
        <v>213.4</v>
      </c>
      <c r="K23">
        <v>47</v>
      </c>
      <c r="L23">
        <v>76</v>
      </c>
      <c r="M23">
        <v>2</v>
      </c>
      <c r="N23">
        <v>1</v>
      </c>
      <c r="O23">
        <v>4</v>
      </c>
    </row>
    <row r="24" spans="1:15" x14ac:dyDescent="0.2">
      <c r="A24">
        <v>23</v>
      </c>
      <c r="B24" t="str">
        <f t="shared" si="0"/>
        <v>MATCH_023_ACE</v>
      </c>
      <c r="C24" t="s">
        <v>4</v>
      </c>
      <c r="D24" t="s">
        <v>20</v>
      </c>
      <c r="E24" t="s">
        <v>34</v>
      </c>
      <c r="F24">
        <v>247</v>
      </c>
      <c r="G24">
        <v>23</v>
      </c>
      <c r="H24">
        <v>19</v>
      </c>
      <c r="I24">
        <v>9</v>
      </c>
      <c r="J24">
        <v>153.69999999999999</v>
      </c>
      <c r="K24">
        <v>40</v>
      </c>
      <c r="L24">
        <v>87</v>
      </c>
      <c r="M24">
        <v>2</v>
      </c>
      <c r="N24">
        <v>0</v>
      </c>
      <c r="O24">
        <v>1</v>
      </c>
    </row>
    <row r="25" spans="1:15" x14ac:dyDescent="0.2">
      <c r="A25">
        <v>24</v>
      </c>
      <c r="B25" t="str">
        <f t="shared" si="0"/>
        <v>MATCH_024_ACE</v>
      </c>
      <c r="C25" t="s">
        <v>4</v>
      </c>
      <c r="D25" t="s">
        <v>20</v>
      </c>
      <c r="E25" t="s">
        <v>21</v>
      </c>
      <c r="F25">
        <v>173</v>
      </c>
      <c r="G25">
        <v>12</v>
      </c>
      <c r="H25">
        <v>16</v>
      </c>
      <c r="I25">
        <v>4</v>
      </c>
      <c r="J25">
        <v>114.8</v>
      </c>
      <c r="K25">
        <v>36</v>
      </c>
      <c r="L25">
        <v>60</v>
      </c>
      <c r="M25">
        <v>2</v>
      </c>
      <c r="N25">
        <v>3</v>
      </c>
      <c r="O25">
        <v>2</v>
      </c>
    </row>
    <row r="26" spans="1:15" x14ac:dyDescent="0.2">
      <c r="A26">
        <v>25</v>
      </c>
      <c r="B26" t="str">
        <f t="shared" si="0"/>
        <v>MATCH_025_ACE</v>
      </c>
      <c r="C26" t="s">
        <v>4</v>
      </c>
      <c r="D26" t="s">
        <v>36</v>
      </c>
      <c r="E26" t="s">
        <v>37</v>
      </c>
      <c r="F26">
        <v>184</v>
      </c>
      <c r="G26">
        <v>15</v>
      </c>
      <c r="H26">
        <v>12</v>
      </c>
      <c r="I26">
        <v>3</v>
      </c>
      <c r="J26">
        <v>129.9</v>
      </c>
      <c r="K26">
        <v>41</v>
      </c>
      <c r="L26">
        <v>77</v>
      </c>
      <c r="M26">
        <v>0</v>
      </c>
      <c r="N26">
        <v>2</v>
      </c>
      <c r="O26">
        <v>1</v>
      </c>
    </row>
    <row r="27" spans="1:15" x14ac:dyDescent="0.2">
      <c r="A27">
        <v>26</v>
      </c>
      <c r="B27" t="str">
        <f t="shared" si="0"/>
        <v>MATCH_026_ACE</v>
      </c>
      <c r="C27" t="s">
        <v>4</v>
      </c>
      <c r="D27" t="s">
        <v>6</v>
      </c>
      <c r="E27" t="s">
        <v>28</v>
      </c>
      <c r="F27">
        <v>204</v>
      </c>
      <c r="G27">
        <v>16</v>
      </c>
      <c r="H27">
        <v>20</v>
      </c>
      <c r="I27">
        <v>5</v>
      </c>
      <c r="J27">
        <v>131</v>
      </c>
      <c r="K27">
        <v>45</v>
      </c>
      <c r="L27">
        <v>61</v>
      </c>
      <c r="M27">
        <v>1</v>
      </c>
      <c r="N27">
        <v>5</v>
      </c>
      <c r="O27">
        <v>2</v>
      </c>
    </row>
    <row r="28" spans="1:15" x14ac:dyDescent="0.2">
      <c r="A28">
        <v>27</v>
      </c>
      <c r="B28" t="str">
        <f t="shared" si="0"/>
        <v>MATCH_027_ACE</v>
      </c>
      <c r="C28" t="s">
        <v>4</v>
      </c>
      <c r="D28" t="s">
        <v>6</v>
      </c>
      <c r="E28" t="s">
        <v>28</v>
      </c>
      <c r="F28">
        <v>161</v>
      </c>
      <c r="G28">
        <v>11</v>
      </c>
      <c r="H28">
        <v>19</v>
      </c>
      <c r="I28">
        <v>2</v>
      </c>
      <c r="J28">
        <v>109.4</v>
      </c>
      <c r="K28">
        <v>24</v>
      </c>
      <c r="L28">
        <v>57</v>
      </c>
      <c r="M28">
        <v>4</v>
      </c>
      <c r="N28">
        <v>6</v>
      </c>
      <c r="O28">
        <v>1</v>
      </c>
    </row>
    <row r="29" spans="1:15" x14ac:dyDescent="0.2">
      <c r="A29">
        <v>28</v>
      </c>
      <c r="B29" t="str">
        <f t="shared" si="0"/>
        <v>MATCH_028_ACE</v>
      </c>
      <c r="C29" t="s">
        <v>4</v>
      </c>
      <c r="D29" t="s">
        <v>6</v>
      </c>
      <c r="E29" t="s">
        <v>28</v>
      </c>
      <c r="F29">
        <v>203</v>
      </c>
      <c r="G29">
        <v>14</v>
      </c>
      <c r="H29">
        <v>14</v>
      </c>
      <c r="I29">
        <v>2</v>
      </c>
      <c r="J29">
        <v>130.30000000000001</v>
      </c>
      <c r="K29">
        <v>27</v>
      </c>
      <c r="L29">
        <v>53</v>
      </c>
      <c r="M29">
        <v>1</v>
      </c>
      <c r="N29">
        <v>6</v>
      </c>
      <c r="O29">
        <v>1</v>
      </c>
    </row>
    <row r="30" spans="1:15" x14ac:dyDescent="0.2">
      <c r="A30">
        <v>29</v>
      </c>
      <c r="B30" t="str">
        <f t="shared" si="0"/>
        <v>MATCH_029_ACE</v>
      </c>
      <c r="C30" t="s">
        <v>4</v>
      </c>
      <c r="D30" t="s">
        <v>6</v>
      </c>
      <c r="E30" t="s">
        <v>38</v>
      </c>
      <c r="F30">
        <v>275</v>
      </c>
      <c r="G30">
        <v>21</v>
      </c>
      <c r="H30">
        <v>18</v>
      </c>
      <c r="I30">
        <v>4</v>
      </c>
      <c r="J30">
        <v>185</v>
      </c>
      <c r="K30">
        <v>14</v>
      </c>
      <c r="L30">
        <v>73</v>
      </c>
      <c r="M30">
        <v>7</v>
      </c>
      <c r="N30">
        <v>6</v>
      </c>
      <c r="O30">
        <v>1</v>
      </c>
    </row>
    <row r="31" spans="1:15" x14ac:dyDescent="0.2">
      <c r="A31">
        <v>30</v>
      </c>
      <c r="B31" t="str">
        <f t="shared" si="0"/>
        <v>MATCH_030_ACE</v>
      </c>
      <c r="C31" t="s">
        <v>4</v>
      </c>
      <c r="D31" t="s">
        <v>20</v>
      </c>
      <c r="E31" t="s">
        <v>21</v>
      </c>
      <c r="F31">
        <v>137</v>
      </c>
      <c r="G31">
        <v>9</v>
      </c>
      <c r="H31">
        <v>18</v>
      </c>
      <c r="I31">
        <v>9</v>
      </c>
      <c r="J31">
        <v>100.6</v>
      </c>
      <c r="K31">
        <v>24</v>
      </c>
      <c r="L31">
        <v>65</v>
      </c>
      <c r="M31">
        <v>2</v>
      </c>
      <c r="N31">
        <v>4</v>
      </c>
      <c r="O31">
        <v>0</v>
      </c>
    </row>
    <row r="32" spans="1:15" x14ac:dyDescent="0.2">
      <c r="A32">
        <v>31</v>
      </c>
      <c r="B32" t="str">
        <f t="shared" si="0"/>
        <v>MATCH_031_ACE</v>
      </c>
      <c r="C32" t="s">
        <v>4</v>
      </c>
      <c r="D32" t="s">
        <v>6</v>
      </c>
      <c r="E32" t="s">
        <v>39</v>
      </c>
      <c r="F32">
        <v>195</v>
      </c>
      <c r="G32">
        <v>13</v>
      </c>
      <c r="H32">
        <v>21</v>
      </c>
      <c r="I32">
        <v>6</v>
      </c>
      <c r="J32">
        <v>126.6</v>
      </c>
      <c r="K32">
        <v>23</v>
      </c>
      <c r="L32">
        <v>52</v>
      </c>
      <c r="M32">
        <v>5</v>
      </c>
      <c r="N32">
        <v>2</v>
      </c>
      <c r="O32">
        <v>1</v>
      </c>
    </row>
    <row r="33" spans="1:15" x14ac:dyDescent="0.2">
      <c r="A33">
        <v>32</v>
      </c>
      <c r="B33" t="str">
        <f t="shared" si="0"/>
        <v>MATCH_032_ACE</v>
      </c>
      <c r="C33" t="s">
        <v>4</v>
      </c>
      <c r="D33" t="s">
        <v>20</v>
      </c>
      <c r="E33" t="s">
        <v>29</v>
      </c>
      <c r="F33">
        <v>265</v>
      </c>
      <c r="G33">
        <v>17</v>
      </c>
      <c r="H33">
        <v>11</v>
      </c>
      <c r="I33">
        <v>6</v>
      </c>
      <c r="J33">
        <v>174.8</v>
      </c>
      <c r="K33">
        <v>39</v>
      </c>
      <c r="L33">
        <v>94</v>
      </c>
      <c r="M33">
        <v>1</v>
      </c>
      <c r="N33">
        <v>0</v>
      </c>
      <c r="O33">
        <v>1</v>
      </c>
    </row>
    <row r="34" spans="1:15" x14ac:dyDescent="0.2">
      <c r="A34">
        <v>33</v>
      </c>
      <c r="B34" t="str">
        <f t="shared" si="0"/>
        <v>MATCH_033_ACE</v>
      </c>
      <c r="C34" t="s">
        <v>4</v>
      </c>
      <c r="D34" t="s">
        <v>6</v>
      </c>
      <c r="E34" t="s">
        <v>38</v>
      </c>
      <c r="F34">
        <v>352</v>
      </c>
      <c r="G34">
        <v>23</v>
      </c>
      <c r="H34">
        <v>8</v>
      </c>
      <c r="I34">
        <v>6</v>
      </c>
      <c r="J34">
        <v>241.5</v>
      </c>
      <c r="K34">
        <v>32</v>
      </c>
      <c r="L34">
        <v>89</v>
      </c>
      <c r="M34">
        <v>3</v>
      </c>
      <c r="N34">
        <v>2</v>
      </c>
      <c r="O34">
        <v>3</v>
      </c>
    </row>
    <row r="35" spans="1:15" x14ac:dyDescent="0.2">
      <c r="A35">
        <v>34</v>
      </c>
      <c r="B35" t="str">
        <f t="shared" si="0"/>
        <v>MATCH_034_ACE</v>
      </c>
      <c r="C35" t="s">
        <v>4</v>
      </c>
      <c r="D35" t="s">
        <v>6</v>
      </c>
      <c r="E35" t="s">
        <v>25</v>
      </c>
      <c r="F35">
        <v>249</v>
      </c>
      <c r="G35">
        <v>14</v>
      </c>
      <c r="H35">
        <v>8</v>
      </c>
      <c r="I35">
        <v>3</v>
      </c>
      <c r="J35">
        <v>150.5</v>
      </c>
      <c r="K35">
        <v>19</v>
      </c>
      <c r="L35">
        <v>87</v>
      </c>
      <c r="M35">
        <v>4</v>
      </c>
      <c r="N35">
        <v>5</v>
      </c>
      <c r="O35">
        <v>1</v>
      </c>
    </row>
    <row r="36" spans="1:15" x14ac:dyDescent="0.2">
      <c r="A36">
        <v>35</v>
      </c>
      <c r="B36" t="str">
        <f t="shared" si="0"/>
        <v>MATCH_035_ACE</v>
      </c>
      <c r="C36" t="s">
        <v>4</v>
      </c>
      <c r="D36" t="s">
        <v>20</v>
      </c>
      <c r="E36" t="s">
        <v>34</v>
      </c>
      <c r="F36">
        <v>137</v>
      </c>
      <c r="G36">
        <v>9</v>
      </c>
      <c r="H36">
        <v>15</v>
      </c>
      <c r="I36">
        <v>4</v>
      </c>
      <c r="J36">
        <v>97.4</v>
      </c>
      <c r="K36">
        <v>19</v>
      </c>
      <c r="L36">
        <v>60</v>
      </c>
      <c r="M36">
        <v>1</v>
      </c>
      <c r="N36">
        <v>1</v>
      </c>
      <c r="O36">
        <v>0</v>
      </c>
    </row>
    <row r="37" spans="1:15" x14ac:dyDescent="0.2">
      <c r="A37">
        <v>36</v>
      </c>
      <c r="B37" t="str">
        <f t="shared" si="0"/>
        <v>MATCH_036_ACE</v>
      </c>
      <c r="C37" t="s">
        <v>4</v>
      </c>
      <c r="D37" t="s">
        <v>6</v>
      </c>
      <c r="E37" t="s">
        <v>25</v>
      </c>
      <c r="F37">
        <v>163</v>
      </c>
      <c r="G37">
        <v>12</v>
      </c>
      <c r="H37">
        <v>18</v>
      </c>
      <c r="I37">
        <v>3</v>
      </c>
      <c r="J37">
        <v>104.6</v>
      </c>
      <c r="K37">
        <v>18</v>
      </c>
      <c r="L37">
        <v>70</v>
      </c>
      <c r="M37">
        <v>6</v>
      </c>
      <c r="N37">
        <v>4</v>
      </c>
      <c r="O37">
        <v>0</v>
      </c>
    </row>
    <row r="38" spans="1:15" x14ac:dyDescent="0.2">
      <c r="A38">
        <v>37</v>
      </c>
      <c r="B38" t="str">
        <f t="shared" si="0"/>
        <v>MATCH_037_ACE</v>
      </c>
      <c r="C38" t="s">
        <v>4</v>
      </c>
      <c r="D38" t="s">
        <v>6</v>
      </c>
      <c r="E38" t="s">
        <v>39</v>
      </c>
      <c r="F38">
        <v>157</v>
      </c>
      <c r="G38">
        <v>17</v>
      </c>
      <c r="H38">
        <v>23</v>
      </c>
      <c r="I38">
        <v>1</v>
      </c>
      <c r="J38">
        <v>112.2</v>
      </c>
      <c r="K38">
        <v>29</v>
      </c>
      <c r="L38">
        <v>67</v>
      </c>
      <c r="M38">
        <v>3</v>
      </c>
      <c r="N38">
        <v>7</v>
      </c>
      <c r="O38">
        <v>1</v>
      </c>
    </row>
    <row r="39" spans="1:15" x14ac:dyDescent="0.2">
      <c r="A39">
        <v>38</v>
      </c>
      <c r="B39" t="str">
        <f t="shared" si="0"/>
        <v>MATCH_038_ACE</v>
      </c>
      <c r="C39" t="s">
        <v>4</v>
      </c>
      <c r="D39" t="s">
        <v>20</v>
      </c>
      <c r="E39" t="s">
        <v>29</v>
      </c>
      <c r="F39">
        <v>92</v>
      </c>
      <c r="G39">
        <v>4</v>
      </c>
      <c r="H39">
        <v>13</v>
      </c>
      <c r="I39">
        <v>1</v>
      </c>
      <c r="J39">
        <v>56.6</v>
      </c>
      <c r="K39">
        <v>27</v>
      </c>
      <c r="L39">
        <v>29</v>
      </c>
      <c r="M39">
        <v>2</v>
      </c>
      <c r="N39">
        <v>2</v>
      </c>
      <c r="O39">
        <v>0</v>
      </c>
    </row>
    <row r="40" spans="1:15" x14ac:dyDescent="0.2">
      <c r="A40">
        <v>39</v>
      </c>
      <c r="B40" t="str">
        <f t="shared" si="0"/>
        <v>MATCH_039_ACE</v>
      </c>
      <c r="C40" t="s">
        <v>4</v>
      </c>
      <c r="D40" t="s">
        <v>20</v>
      </c>
      <c r="E40" t="s">
        <v>21</v>
      </c>
      <c r="F40">
        <v>186</v>
      </c>
      <c r="G40">
        <v>12</v>
      </c>
      <c r="H40">
        <v>15</v>
      </c>
      <c r="I40">
        <v>2</v>
      </c>
      <c r="J40">
        <v>128.19999999999999</v>
      </c>
      <c r="K40">
        <v>24</v>
      </c>
      <c r="L40">
        <v>47</v>
      </c>
      <c r="M40">
        <v>1</v>
      </c>
      <c r="N40">
        <v>1</v>
      </c>
      <c r="O40">
        <v>2</v>
      </c>
    </row>
    <row r="41" spans="1:15" x14ac:dyDescent="0.2">
      <c r="A41">
        <v>40</v>
      </c>
      <c r="B41" t="str">
        <f t="shared" si="0"/>
        <v>MATCH_040_ACE</v>
      </c>
      <c r="C41" t="s">
        <v>4</v>
      </c>
      <c r="D41" t="s">
        <v>6</v>
      </c>
      <c r="E41" t="s">
        <v>38</v>
      </c>
      <c r="F41">
        <v>302</v>
      </c>
      <c r="G41">
        <v>19</v>
      </c>
      <c r="H41">
        <v>11</v>
      </c>
      <c r="I41">
        <v>2</v>
      </c>
      <c r="J41">
        <v>196.9</v>
      </c>
      <c r="K41">
        <v>30</v>
      </c>
      <c r="L41">
        <v>83</v>
      </c>
      <c r="M41">
        <v>6</v>
      </c>
      <c r="N41">
        <v>2</v>
      </c>
      <c r="O41">
        <v>2</v>
      </c>
    </row>
    <row r="42" spans="1:15" x14ac:dyDescent="0.2">
      <c r="A42">
        <v>41</v>
      </c>
      <c r="B42" t="str">
        <f t="shared" si="0"/>
        <v>MATCH_041_ACE</v>
      </c>
      <c r="C42" t="s">
        <v>4</v>
      </c>
      <c r="D42" t="s">
        <v>6</v>
      </c>
      <c r="E42" t="s">
        <v>38</v>
      </c>
      <c r="F42">
        <v>268</v>
      </c>
      <c r="G42">
        <v>19</v>
      </c>
      <c r="H42">
        <v>18</v>
      </c>
      <c r="I42">
        <v>4</v>
      </c>
      <c r="J42">
        <v>171.7</v>
      </c>
      <c r="K42">
        <v>30</v>
      </c>
      <c r="L42">
        <v>81</v>
      </c>
      <c r="M42">
        <v>6</v>
      </c>
      <c r="N42">
        <v>5</v>
      </c>
      <c r="O42">
        <v>0</v>
      </c>
    </row>
    <row r="43" spans="1:15" x14ac:dyDescent="0.2">
      <c r="A43">
        <v>42</v>
      </c>
      <c r="B43" t="str">
        <f t="shared" si="0"/>
        <v>MATCH_042_ACE</v>
      </c>
      <c r="C43" t="s">
        <v>4</v>
      </c>
      <c r="D43" t="s">
        <v>6</v>
      </c>
      <c r="E43" t="s">
        <v>28</v>
      </c>
      <c r="F43">
        <v>104</v>
      </c>
      <c r="G43">
        <v>8</v>
      </c>
      <c r="H43">
        <v>21</v>
      </c>
      <c r="I43">
        <v>2</v>
      </c>
      <c r="J43">
        <v>63.4</v>
      </c>
      <c r="K43">
        <v>17</v>
      </c>
      <c r="L43">
        <v>41</v>
      </c>
      <c r="M43">
        <v>3</v>
      </c>
      <c r="N43">
        <v>1</v>
      </c>
      <c r="O43">
        <v>0</v>
      </c>
    </row>
    <row r="44" spans="1:15" x14ac:dyDescent="0.2">
      <c r="A44">
        <v>43</v>
      </c>
      <c r="B44" t="str">
        <f t="shared" si="0"/>
        <v>MATCH_043_ACE</v>
      </c>
      <c r="C44" t="s">
        <v>4</v>
      </c>
      <c r="D44" t="s">
        <v>6</v>
      </c>
      <c r="E44" t="s">
        <v>5</v>
      </c>
      <c r="F44">
        <v>334</v>
      </c>
      <c r="G44">
        <v>25</v>
      </c>
      <c r="H44">
        <v>11</v>
      </c>
      <c r="I44">
        <v>2</v>
      </c>
      <c r="J44">
        <v>224.3</v>
      </c>
      <c r="K44">
        <v>45</v>
      </c>
      <c r="L44">
        <v>80</v>
      </c>
      <c r="M44">
        <v>4</v>
      </c>
      <c r="N44">
        <v>1</v>
      </c>
      <c r="O44">
        <v>4</v>
      </c>
    </row>
    <row r="45" spans="1:15" x14ac:dyDescent="0.2">
      <c r="A45">
        <v>44</v>
      </c>
      <c r="B45" t="str">
        <f t="shared" si="0"/>
        <v>MATCH_044_ACE</v>
      </c>
      <c r="C45" t="s">
        <v>4</v>
      </c>
      <c r="D45" t="s">
        <v>6</v>
      </c>
      <c r="E45" t="s">
        <v>25</v>
      </c>
      <c r="F45">
        <v>313</v>
      </c>
      <c r="G45">
        <v>20</v>
      </c>
      <c r="H45">
        <v>13</v>
      </c>
      <c r="I45">
        <v>5</v>
      </c>
      <c r="J45">
        <v>218.7</v>
      </c>
      <c r="K45">
        <v>26</v>
      </c>
      <c r="L45">
        <v>78</v>
      </c>
      <c r="M45">
        <v>4</v>
      </c>
      <c r="N45">
        <v>2</v>
      </c>
      <c r="O45">
        <v>1</v>
      </c>
    </row>
    <row r="46" spans="1:15" x14ac:dyDescent="0.2">
      <c r="A46">
        <v>45</v>
      </c>
      <c r="B46" t="str">
        <f t="shared" si="0"/>
        <v>MATCH_045_ACE</v>
      </c>
      <c r="C46" t="s">
        <v>4</v>
      </c>
      <c r="D46" t="s">
        <v>6</v>
      </c>
      <c r="E46" t="s">
        <v>38</v>
      </c>
      <c r="F46">
        <v>174</v>
      </c>
      <c r="G46">
        <v>13</v>
      </c>
      <c r="H46">
        <v>17</v>
      </c>
      <c r="I46">
        <v>5</v>
      </c>
      <c r="J46">
        <v>122.5</v>
      </c>
      <c r="K46">
        <v>24</v>
      </c>
      <c r="L46">
        <v>81</v>
      </c>
      <c r="M46">
        <v>2</v>
      </c>
      <c r="N46">
        <v>6</v>
      </c>
      <c r="O46">
        <v>0</v>
      </c>
    </row>
    <row r="47" spans="1:15" x14ac:dyDescent="0.2">
      <c r="A47">
        <v>46</v>
      </c>
      <c r="B47" t="str">
        <f t="shared" si="0"/>
        <v>MATCH_046_ACE</v>
      </c>
      <c r="C47" t="s">
        <v>4</v>
      </c>
      <c r="D47" t="s">
        <v>20</v>
      </c>
      <c r="E47" t="s">
        <v>29</v>
      </c>
      <c r="F47">
        <v>191</v>
      </c>
      <c r="G47">
        <v>17</v>
      </c>
      <c r="H47">
        <v>21</v>
      </c>
      <c r="I47">
        <v>12</v>
      </c>
      <c r="J47">
        <v>116</v>
      </c>
      <c r="K47">
        <v>30</v>
      </c>
      <c r="L47">
        <v>73</v>
      </c>
      <c r="M47">
        <v>1</v>
      </c>
      <c r="N47">
        <v>0</v>
      </c>
      <c r="O47">
        <v>0</v>
      </c>
    </row>
    <row r="48" spans="1:15" x14ac:dyDescent="0.2">
      <c r="A48">
        <v>47</v>
      </c>
      <c r="B48" t="str">
        <f t="shared" si="0"/>
        <v>MATCH_047_ACE</v>
      </c>
      <c r="C48" t="s">
        <v>4</v>
      </c>
      <c r="D48" t="s">
        <v>20</v>
      </c>
      <c r="E48" t="s">
        <v>34</v>
      </c>
      <c r="F48">
        <v>230</v>
      </c>
      <c r="G48">
        <v>16</v>
      </c>
      <c r="H48">
        <v>12</v>
      </c>
      <c r="I48">
        <v>5</v>
      </c>
      <c r="J48">
        <v>149.6</v>
      </c>
      <c r="K48">
        <v>27</v>
      </c>
      <c r="L48">
        <v>80</v>
      </c>
      <c r="M48">
        <v>4</v>
      </c>
      <c r="N48">
        <v>1</v>
      </c>
      <c r="O48">
        <v>2</v>
      </c>
    </row>
    <row r="49" spans="1:15" x14ac:dyDescent="0.2">
      <c r="A49">
        <v>48</v>
      </c>
      <c r="B49" t="str">
        <f t="shared" si="0"/>
        <v>MATCH_048_ACE</v>
      </c>
      <c r="C49" t="s">
        <v>4</v>
      </c>
      <c r="D49" t="s">
        <v>20</v>
      </c>
      <c r="E49" t="s">
        <v>21</v>
      </c>
      <c r="F49">
        <v>223</v>
      </c>
      <c r="G49">
        <v>15</v>
      </c>
      <c r="H49">
        <v>15</v>
      </c>
      <c r="I49">
        <v>6</v>
      </c>
      <c r="J49">
        <v>152.9</v>
      </c>
      <c r="K49">
        <v>28</v>
      </c>
      <c r="L49">
        <v>75</v>
      </c>
      <c r="M49">
        <v>0</v>
      </c>
      <c r="N49">
        <v>1</v>
      </c>
      <c r="O49">
        <v>1</v>
      </c>
    </row>
    <row r="50" spans="1:15" x14ac:dyDescent="0.2">
      <c r="A50">
        <v>49</v>
      </c>
      <c r="B50" t="str">
        <f t="shared" si="0"/>
        <v>MATCH_049_ACE</v>
      </c>
      <c r="C50" t="s">
        <v>4</v>
      </c>
      <c r="D50" t="s">
        <v>6</v>
      </c>
      <c r="E50" t="s">
        <v>28</v>
      </c>
      <c r="F50">
        <v>230</v>
      </c>
      <c r="G50">
        <v>16</v>
      </c>
      <c r="H50">
        <v>14</v>
      </c>
      <c r="I50">
        <v>1</v>
      </c>
      <c r="J50">
        <v>145.4</v>
      </c>
      <c r="K50">
        <v>42</v>
      </c>
      <c r="L50">
        <v>58</v>
      </c>
      <c r="M50">
        <v>4</v>
      </c>
      <c r="N50">
        <v>6</v>
      </c>
      <c r="O50">
        <v>2</v>
      </c>
    </row>
    <row r="51" spans="1:15" x14ac:dyDescent="0.2">
      <c r="A51">
        <v>50</v>
      </c>
      <c r="B51" t="str">
        <f t="shared" si="0"/>
        <v>MATCH_050_ACE</v>
      </c>
      <c r="C51" t="s">
        <v>4</v>
      </c>
      <c r="D51" t="s">
        <v>6</v>
      </c>
      <c r="E51" t="s">
        <v>39</v>
      </c>
      <c r="F51">
        <v>155</v>
      </c>
      <c r="G51">
        <v>14</v>
      </c>
      <c r="H51">
        <v>18</v>
      </c>
      <c r="I51">
        <v>3</v>
      </c>
      <c r="J51">
        <v>117</v>
      </c>
      <c r="K51">
        <v>21</v>
      </c>
      <c r="L51">
        <v>75</v>
      </c>
      <c r="M51">
        <v>3</v>
      </c>
      <c r="N51">
        <v>3</v>
      </c>
      <c r="O51">
        <v>0</v>
      </c>
    </row>
    <row r="52" spans="1:15" x14ac:dyDescent="0.2">
      <c r="A52">
        <v>51</v>
      </c>
      <c r="B52" t="str">
        <f>"MATCH_" &amp; TEXT(ROW()-1, "000") &amp; "_RAISU"</f>
        <v>MATCH_051_RAISU</v>
      </c>
      <c r="C52" t="s">
        <v>40</v>
      </c>
      <c r="D52" t="s">
        <v>6</v>
      </c>
      <c r="E52" t="s">
        <v>5</v>
      </c>
      <c r="F52">
        <v>323</v>
      </c>
      <c r="G52">
        <v>25</v>
      </c>
      <c r="H52">
        <v>14</v>
      </c>
      <c r="I52">
        <v>3</v>
      </c>
      <c r="J52">
        <v>189.9</v>
      </c>
      <c r="K52">
        <v>29</v>
      </c>
      <c r="L52">
        <v>81</v>
      </c>
      <c r="M52">
        <v>3</v>
      </c>
      <c r="N52">
        <v>1</v>
      </c>
      <c r="O52">
        <v>3</v>
      </c>
    </row>
    <row r="53" spans="1:15" x14ac:dyDescent="0.2">
      <c r="A53">
        <v>52</v>
      </c>
      <c r="B53" t="str">
        <f t="shared" ref="B53:B100" si="1">"MATCH_" &amp; TEXT(ROW()-1, "000") &amp; "_RAISU"</f>
        <v>MATCH_052_RAISU</v>
      </c>
      <c r="C53" t="s">
        <v>40</v>
      </c>
      <c r="D53" t="s">
        <v>6</v>
      </c>
      <c r="E53" t="s">
        <v>23</v>
      </c>
      <c r="F53">
        <v>245</v>
      </c>
      <c r="G53">
        <v>18</v>
      </c>
      <c r="H53">
        <v>20</v>
      </c>
      <c r="I53">
        <v>5</v>
      </c>
      <c r="J53">
        <v>146.1</v>
      </c>
      <c r="K53">
        <v>19</v>
      </c>
      <c r="L53">
        <v>73</v>
      </c>
      <c r="M53">
        <v>5</v>
      </c>
      <c r="N53">
        <v>2</v>
      </c>
      <c r="O53">
        <v>0</v>
      </c>
    </row>
    <row r="54" spans="1:15" x14ac:dyDescent="0.2">
      <c r="A54">
        <v>53</v>
      </c>
      <c r="B54" t="str">
        <f t="shared" si="1"/>
        <v>MATCH_053_RAISU</v>
      </c>
      <c r="C54" t="s">
        <v>40</v>
      </c>
      <c r="D54" t="s">
        <v>36</v>
      </c>
      <c r="E54" t="s">
        <v>41</v>
      </c>
      <c r="F54">
        <v>180</v>
      </c>
      <c r="G54">
        <v>16</v>
      </c>
      <c r="H54">
        <v>21</v>
      </c>
      <c r="I54">
        <v>5</v>
      </c>
      <c r="J54">
        <v>121.8</v>
      </c>
      <c r="K54">
        <v>20</v>
      </c>
      <c r="L54">
        <v>70</v>
      </c>
      <c r="M54">
        <v>1</v>
      </c>
      <c r="N54">
        <v>4</v>
      </c>
      <c r="O54">
        <v>2</v>
      </c>
    </row>
    <row r="55" spans="1:15" x14ac:dyDescent="0.2">
      <c r="A55">
        <v>54</v>
      </c>
      <c r="B55" t="str">
        <f t="shared" si="1"/>
        <v>MATCH_054_RAISU</v>
      </c>
      <c r="C55" t="s">
        <v>40</v>
      </c>
      <c r="D55" t="s">
        <v>6</v>
      </c>
      <c r="E55" t="s">
        <v>23</v>
      </c>
      <c r="F55">
        <v>283</v>
      </c>
      <c r="G55">
        <v>23</v>
      </c>
      <c r="H55">
        <v>14</v>
      </c>
      <c r="I55">
        <v>3</v>
      </c>
      <c r="J55">
        <v>182.1</v>
      </c>
      <c r="K55">
        <v>26</v>
      </c>
      <c r="L55">
        <v>74</v>
      </c>
      <c r="M55">
        <v>4</v>
      </c>
      <c r="N55">
        <v>2</v>
      </c>
      <c r="O55">
        <v>1</v>
      </c>
    </row>
    <row r="56" spans="1:15" x14ac:dyDescent="0.2">
      <c r="A56">
        <v>55</v>
      </c>
      <c r="B56" t="str">
        <f t="shared" si="1"/>
        <v>MATCH_055_RAISU</v>
      </c>
      <c r="C56" t="s">
        <v>40</v>
      </c>
      <c r="D56" t="s">
        <v>6</v>
      </c>
      <c r="E56" t="s">
        <v>25</v>
      </c>
      <c r="F56">
        <v>180</v>
      </c>
      <c r="G56">
        <v>12</v>
      </c>
      <c r="H56">
        <v>16</v>
      </c>
      <c r="I56">
        <v>6</v>
      </c>
      <c r="J56">
        <v>123.4</v>
      </c>
      <c r="K56">
        <v>17</v>
      </c>
      <c r="L56">
        <v>45</v>
      </c>
      <c r="M56">
        <v>1</v>
      </c>
      <c r="N56">
        <v>1</v>
      </c>
      <c r="O56">
        <v>2</v>
      </c>
    </row>
    <row r="57" spans="1:15" x14ac:dyDescent="0.2">
      <c r="A57">
        <v>56</v>
      </c>
      <c r="B57" t="str">
        <f t="shared" si="1"/>
        <v>MATCH_056_RAISU</v>
      </c>
      <c r="C57" t="s">
        <v>40</v>
      </c>
      <c r="D57" t="s">
        <v>6</v>
      </c>
      <c r="E57" t="s">
        <v>5</v>
      </c>
      <c r="F57">
        <v>263</v>
      </c>
      <c r="G57">
        <v>24</v>
      </c>
      <c r="H57">
        <v>16</v>
      </c>
      <c r="I57">
        <v>4</v>
      </c>
      <c r="J57">
        <v>170.5</v>
      </c>
      <c r="K57">
        <v>24</v>
      </c>
      <c r="L57">
        <v>79</v>
      </c>
      <c r="M57">
        <v>2</v>
      </c>
      <c r="N57">
        <v>2</v>
      </c>
      <c r="O57">
        <v>1</v>
      </c>
    </row>
    <row r="58" spans="1:15" x14ac:dyDescent="0.2">
      <c r="A58">
        <v>57</v>
      </c>
      <c r="B58" t="str">
        <f t="shared" si="1"/>
        <v>MATCH_057_RAISU</v>
      </c>
      <c r="C58" t="s">
        <v>40</v>
      </c>
      <c r="D58" t="s">
        <v>36</v>
      </c>
      <c r="E58" t="s">
        <v>42</v>
      </c>
      <c r="F58">
        <v>173</v>
      </c>
      <c r="G58">
        <v>10</v>
      </c>
      <c r="H58">
        <v>16</v>
      </c>
      <c r="I58">
        <v>2</v>
      </c>
      <c r="J58">
        <v>97.3</v>
      </c>
      <c r="K58">
        <v>30</v>
      </c>
      <c r="L58">
        <v>65</v>
      </c>
      <c r="M58">
        <v>2</v>
      </c>
      <c r="N58">
        <v>3</v>
      </c>
      <c r="O58">
        <v>0</v>
      </c>
    </row>
    <row r="59" spans="1:15" x14ac:dyDescent="0.2">
      <c r="A59">
        <v>58</v>
      </c>
      <c r="B59" t="str">
        <f t="shared" si="1"/>
        <v>MATCH_058_RAISU</v>
      </c>
      <c r="C59" t="s">
        <v>40</v>
      </c>
      <c r="D59" t="s">
        <v>30</v>
      </c>
      <c r="E59" t="s">
        <v>43</v>
      </c>
      <c r="F59">
        <v>154</v>
      </c>
      <c r="G59">
        <v>13</v>
      </c>
      <c r="H59">
        <v>12</v>
      </c>
      <c r="I59">
        <v>2</v>
      </c>
      <c r="J59">
        <v>90.8</v>
      </c>
      <c r="K59">
        <v>25</v>
      </c>
      <c r="L59">
        <v>75</v>
      </c>
      <c r="M59">
        <v>2</v>
      </c>
      <c r="N59">
        <v>1</v>
      </c>
      <c r="O59">
        <v>0</v>
      </c>
    </row>
    <row r="60" spans="1:15" x14ac:dyDescent="0.2">
      <c r="A60">
        <v>59</v>
      </c>
      <c r="B60" t="str">
        <f t="shared" si="1"/>
        <v>MATCH_059_RAISU</v>
      </c>
      <c r="C60" t="s">
        <v>40</v>
      </c>
      <c r="D60" t="s">
        <v>30</v>
      </c>
      <c r="E60" t="s">
        <v>43</v>
      </c>
      <c r="F60">
        <v>152</v>
      </c>
      <c r="G60">
        <v>12</v>
      </c>
      <c r="H60">
        <v>16</v>
      </c>
      <c r="I60">
        <v>6</v>
      </c>
      <c r="J60">
        <v>106.6</v>
      </c>
      <c r="K60">
        <v>19</v>
      </c>
      <c r="L60">
        <v>74</v>
      </c>
      <c r="M60">
        <v>0</v>
      </c>
      <c r="N60">
        <v>2</v>
      </c>
      <c r="O60">
        <v>0</v>
      </c>
    </row>
    <row r="61" spans="1:15" x14ac:dyDescent="0.2">
      <c r="A61">
        <v>60</v>
      </c>
      <c r="B61" t="str">
        <f t="shared" si="1"/>
        <v>MATCH_060_RAISU</v>
      </c>
      <c r="C61" t="s">
        <v>40</v>
      </c>
      <c r="D61" t="s">
        <v>30</v>
      </c>
      <c r="E61" t="s">
        <v>44</v>
      </c>
      <c r="F61">
        <v>158</v>
      </c>
      <c r="G61">
        <v>13</v>
      </c>
      <c r="H61">
        <v>16</v>
      </c>
      <c r="I61">
        <v>6</v>
      </c>
      <c r="J61">
        <v>119.1</v>
      </c>
      <c r="K61">
        <v>25</v>
      </c>
      <c r="L61">
        <v>68</v>
      </c>
      <c r="M61">
        <v>1</v>
      </c>
      <c r="N61">
        <v>2</v>
      </c>
      <c r="O61">
        <v>1</v>
      </c>
    </row>
    <row r="62" spans="1:15" x14ac:dyDescent="0.2">
      <c r="A62">
        <v>61</v>
      </c>
      <c r="B62" t="str">
        <f t="shared" si="1"/>
        <v>MATCH_061_RAISU</v>
      </c>
      <c r="C62" t="s">
        <v>40</v>
      </c>
      <c r="D62" t="s">
        <v>36</v>
      </c>
      <c r="E62" t="s">
        <v>42</v>
      </c>
      <c r="F62">
        <v>243</v>
      </c>
      <c r="G62">
        <v>19</v>
      </c>
      <c r="H62">
        <v>17</v>
      </c>
      <c r="I62">
        <v>16</v>
      </c>
      <c r="J62">
        <v>148.69999999999999</v>
      </c>
      <c r="K62">
        <v>22</v>
      </c>
      <c r="L62">
        <v>83</v>
      </c>
      <c r="M62">
        <v>0</v>
      </c>
      <c r="N62">
        <v>1</v>
      </c>
      <c r="O62">
        <v>1</v>
      </c>
    </row>
    <row r="63" spans="1:15" x14ac:dyDescent="0.2">
      <c r="A63">
        <v>62</v>
      </c>
      <c r="B63" t="str">
        <f t="shared" si="1"/>
        <v>MATCH_062_RAISU</v>
      </c>
      <c r="C63" t="s">
        <v>40</v>
      </c>
      <c r="D63" t="s">
        <v>20</v>
      </c>
      <c r="E63" t="s">
        <v>45</v>
      </c>
      <c r="F63">
        <v>118</v>
      </c>
      <c r="G63">
        <v>8</v>
      </c>
      <c r="H63">
        <v>15</v>
      </c>
      <c r="I63">
        <v>6</v>
      </c>
      <c r="J63">
        <v>84.2</v>
      </c>
      <c r="K63">
        <v>21</v>
      </c>
      <c r="L63">
        <v>84</v>
      </c>
      <c r="M63">
        <v>3</v>
      </c>
      <c r="N63">
        <v>2</v>
      </c>
      <c r="O63">
        <v>0</v>
      </c>
    </row>
    <row r="64" spans="1:15" x14ac:dyDescent="0.2">
      <c r="A64">
        <v>63</v>
      </c>
      <c r="B64" t="str">
        <f t="shared" si="1"/>
        <v>MATCH_063_RAISU</v>
      </c>
      <c r="C64" t="s">
        <v>40</v>
      </c>
      <c r="D64" t="s">
        <v>6</v>
      </c>
      <c r="E64" t="s">
        <v>39</v>
      </c>
      <c r="F64">
        <v>263</v>
      </c>
      <c r="G64">
        <v>21</v>
      </c>
      <c r="H64">
        <v>16</v>
      </c>
      <c r="I64">
        <v>4</v>
      </c>
      <c r="J64">
        <v>177.3</v>
      </c>
      <c r="K64">
        <v>25</v>
      </c>
      <c r="L64">
        <v>87</v>
      </c>
      <c r="M64">
        <v>1</v>
      </c>
      <c r="N64">
        <v>2</v>
      </c>
      <c r="O64">
        <v>3</v>
      </c>
    </row>
    <row r="65" spans="1:15" x14ac:dyDescent="0.2">
      <c r="A65">
        <v>64</v>
      </c>
      <c r="B65" t="str">
        <f t="shared" si="1"/>
        <v>MATCH_064_RAISU</v>
      </c>
      <c r="C65" t="s">
        <v>40</v>
      </c>
      <c r="D65" t="s">
        <v>6</v>
      </c>
      <c r="E65" t="s">
        <v>23</v>
      </c>
      <c r="F65">
        <v>99</v>
      </c>
      <c r="G65">
        <v>11</v>
      </c>
      <c r="H65">
        <v>25</v>
      </c>
      <c r="I65">
        <v>4</v>
      </c>
      <c r="J65">
        <v>66.8</v>
      </c>
      <c r="K65">
        <v>28</v>
      </c>
      <c r="L65">
        <v>46</v>
      </c>
      <c r="M65">
        <v>1</v>
      </c>
      <c r="N65">
        <v>6</v>
      </c>
      <c r="O65">
        <v>2</v>
      </c>
    </row>
    <row r="66" spans="1:15" x14ac:dyDescent="0.2">
      <c r="A66">
        <v>65</v>
      </c>
      <c r="B66" t="str">
        <f t="shared" si="1"/>
        <v>MATCH_065_RAISU</v>
      </c>
      <c r="C66" t="s">
        <v>40</v>
      </c>
      <c r="D66" t="s">
        <v>36</v>
      </c>
      <c r="E66" t="s">
        <v>42</v>
      </c>
      <c r="F66">
        <v>125</v>
      </c>
      <c r="G66">
        <v>8</v>
      </c>
      <c r="H66">
        <v>18</v>
      </c>
      <c r="I66">
        <v>5</v>
      </c>
      <c r="J66">
        <v>75.400000000000006</v>
      </c>
      <c r="K66">
        <v>30</v>
      </c>
      <c r="L66">
        <v>53</v>
      </c>
      <c r="M66">
        <v>0</v>
      </c>
      <c r="N66">
        <v>3</v>
      </c>
      <c r="O66">
        <v>0</v>
      </c>
    </row>
    <row r="67" spans="1:15" x14ac:dyDescent="0.2">
      <c r="A67">
        <v>66</v>
      </c>
      <c r="B67" t="str">
        <f t="shared" si="1"/>
        <v>MATCH_066_RAISU</v>
      </c>
      <c r="C67" t="s">
        <v>40</v>
      </c>
      <c r="D67" t="s">
        <v>36</v>
      </c>
      <c r="E67" t="s">
        <v>42</v>
      </c>
      <c r="F67">
        <v>187</v>
      </c>
      <c r="G67">
        <v>14</v>
      </c>
      <c r="H67">
        <v>15</v>
      </c>
      <c r="I67">
        <v>6</v>
      </c>
      <c r="J67">
        <v>122.6</v>
      </c>
      <c r="K67">
        <v>29</v>
      </c>
      <c r="L67">
        <v>79</v>
      </c>
      <c r="M67">
        <v>2</v>
      </c>
      <c r="N67">
        <v>3</v>
      </c>
      <c r="O67">
        <v>1</v>
      </c>
    </row>
    <row r="68" spans="1:15" x14ac:dyDescent="0.2">
      <c r="A68">
        <v>67</v>
      </c>
      <c r="B68" t="str">
        <f t="shared" si="1"/>
        <v>MATCH_067_RAISU</v>
      </c>
      <c r="C68" t="s">
        <v>40</v>
      </c>
      <c r="D68" t="s">
        <v>36</v>
      </c>
      <c r="E68" t="s">
        <v>41</v>
      </c>
      <c r="F68">
        <v>246</v>
      </c>
      <c r="G68">
        <v>17</v>
      </c>
      <c r="H68">
        <v>20</v>
      </c>
      <c r="I68">
        <v>11</v>
      </c>
      <c r="J68">
        <v>172.1</v>
      </c>
      <c r="K68">
        <v>32</v>
      </c>
      <c r="L68">
        <v>76</v>
      </c>
      <c r="M68">
        <v>2</v>
      </c>
      <c r="N68">
        <v>2</v>
      </c>
      <c r="O68">
        <v>0</v>
      </c>
    </row>
    <row r="69" spans="1:15" x14ac:dyDescent="0.2">
      <c r="A69">
        <v>68</v>
      </c>
      <c r="B69" t="str">
        <f t="shared" si="1"/>
        <v>MATCH_068_RAISU</v>
      </c>
      <c r="C69" t="s">
        <v>40</v>
      </c>
      <c r="D69" t="s">
        <v>6</v>
      </c>
      <c r="E69" t="s">
        <v>39</v>
      </c>
      <c r="F69">
        <v>213</v>
      </c>
      <c r="G69">
        <v>12</v>
      </c>
      <c r="H69">
        <v>15</v>
      </c>
      <c r="I69">
        <v>1</v>
      </c>
      <c r="J69">
        <v>127.9</v>
      </c>
      <c r="K69">
        <v>17</v>
      </c>
      <c r="L69">
        <v>69</v>
      </c>
      <c r="M69">
        <v>4</v>
      </c>
      <c r="N69">
        <v>2</v>
      </c>
      <c r="O69">
        <v>0</v>
      </c>
    </row>
    <row r="70" spans="1:15" x14ac:dyDescent="0.2">
      <c r="A70">
        <v>69</v>
      </c>
      <c r="B70" t="str">
        <f t="shared" si="1"/>
        <v>MATCH_069_RAISU</v>
      </c>
      <c r="C70" t="s">
        <v>40</v>
      </c>
      <c r="D70" t="s">
        <v>36</v>
      </c>
      <c r="E70" t="s">
        <v>41</v>
      </c>
      <c r="F70">
        <v>303</v>
      </c>
      <c r="G70">
        <v>20</v>
      </c>
      <c r="H70">
        <v>22</v>
      </c>
      <c r="I70">
        <v>12</v>
      </c>
      <c r="J70">
        <v>198.9</v>
      </c>
      <c r="K70">
        <v>14</v>
      </c>
      <c r="L70">
        <v>86</v>
      </c>
      <c r="M70">
        <v>4</v>
      </c>
      <c r="N70">
        <v>4</v>
      </c>
      <c r="O70">
        <v>2</v>
      </c>
    </row>
    <row r="71" spans="1:15" x14ac:dyDescent="0.2">
      <c r="A71">
        <v>70</v>
      </c>
      <c r="B71" t="str">
        <f t="shared" si="1"/>
        <v>MATCH_070_RAISU</v>
      </c>
      <c r="C71" t="s">
        <v>40</v>
      </c>
      <c r="D71" t="s">
        <v>20</v>
      </c>
      <c r="E71" t="s">
        <v>21</v>
      </c>
      <c r="F71">
        <v>193</v>
      </c>
      <c r="G71">
        <v>14</v>
      </c>
      <c r="H71">
        <v>18</v>
      </c>
      <c r="I71">
        <v>3</v>
      </c>
      <c r="J71">
        <v>127.4</v>
      </c>
      <c r="K71">
        <v>18</v>
      </c>
      <c r="L71">
        <v>62</v>
      </c>
      <c r="M71">
        <v>2</v>
      </c>
      <c r="N71">
        <v>3</v>
      </c>
      <c r="O71">
        <v>2</v>
      </c>
    </row>
    <row r="72" spans="1:15" x14ac:dyDescent="0.2">
      <c r="A72">
        <v>71</v>
      </c>
      <c r="B72" t="str">
        <f t="shared" si="1"/>
        <v>MATCH_071_RAISU</v>
      </c>
      <c r="C72" t="s">
        <v>40</v>
      </c>
      <c r="D72" t="s">
        <v>6</v>
      </c>
      <c r="E72" t="s">
        <v>23</v>
      </c>
      <c r="F72">
        <v>203</v>
      </c>
      <c r="G72">
        <v>15</v>
      </c>
      <c r="H72">
        <v>13</v>
      </c>
      <c r="I72">
        <v>3</v>
      </c>
      <c r="J72">
        <v>144.4</v>
      </c>
      <c r="K72">
        <v>30</v>
      </c>
      <c r="L72">
        <v>67</v>
      </c>
      <c r="M72">
        <v>3</v>
      </c>
      <c r="N72">
        <v>2</v>
      </c>
      <c r="O72">
        <v>1</v>
      </c>
    </row>
    <row r="73" spans="1:15" x14ac:dyDescent="0.2">
      <c r="A73">
        <v>72</v>
      </c>
      <c r="B73" t="str">
        <f t="shared" si="1"/>
        <v>MATCH_072_RAISU</v>
      </c>
      <c r="C73" t="s">
        <v>40</v>
      </c>
      <c r="D73" t="s">
        <v>6</v>
      </c>
      <c r="E73" t="s">
        <v>39</v>
      </c>
      <c r="F73">
        <v>234</v>
      </c>
      <c r="G73">
        <v>11</v>
      </c>
      <c r="H73">
        <v>15</v>
      </c>
      <c r="I73">
        <v>1</v>
      </c>
      <c r="J73">
        <v>150.30000000000001</v>
      </c>
      <c r="K73">
        <v>10</v>
      </c>
      <c r="L73">
        <v>56</v>
      </c>
      <c r="M73">
        <v>2</v>
      </c>
      <c r="N73">
        <v>1</v>
      </c>
      <c r="O73">
        <v>0</v>
      </c>
    </row>
    <row r="74" spans="1:15" x14ac:dyDescent="0.2">
      <c r="A74">
        <v>73</v>
      </c>
      <c r="B74" t="str">
        <f t="shared" si="1"/>
        <v>MATCH_073_RAISU</v>
      </c>
      <c r="C74" t="s">
        <v>40</v>
      </c>
      <c r="D74" t="s">
        <v>6</v>
      </c>
      <c r="E74" t="s">
        <v>23</v>
      </c>
      <c r="F74">
        <v>215</v>
      </c>
      <c r="G74">
        <v>16</v>
      </c>
      <c r="H74">
        <v>18</v>
      </c>
      <c r="I74">
        <v>4</v>
      </c>
      <c r="J74">
        <v>152.69999999999999</v>
      </c>
      <c r="K74">
        <v>31</v>
      </c>
      <c r="L74">
        <v>83</v>
      </c>
      <c r="M74">
        <v>2</v>
      </c>
      <c r="N74">
        <v>3</v>
      </c>
      <c r="O74">
        <v>0</v>
      </c>
    </row>
    <row r="75" spans="1:15" x14ac:dyDescent="0.2">
      <c r="A75">
        <v>74</v>
      </c>
      <c r="B75" t="str">
        <f t="shared" si="1"/>
        <v>MATCH_074_RAISU</v>
      </c>
      <c r="C75" t="s">
        <v>40</v>
      </c>
      <c r="D75" t="s">
        <v>30</v>
      </c>
      <c r="E75" t="s">
        <v>44</v>
      </c>
      <c r="F75">
        <v>150</v>
      </c>
      <c r="G75">
        <v>7</v>
      </c>
      <c r="H75">
        <v>14</v>
      </c>
      <c r="I75">
        <v>5</v>
      </c>
      <c r="J75">
        <v>98</v>
      </c>
      <c r="K75">
        <v>21</v>
      </c>
      <c r="L75">
        <v>59</v>
      </c>
      <c r="M75">
        <v>0</v>
      </c>
      <c r="N75">
        <v>2</v>
      </c>
      <c r="O75">
        <v>1</v>
      </c>
    </row>
    <row r="76" spans="1:15" x14ac:dyDescent="0.2">
      <c r="A76">
        <v>75</v>
      </c>
      <c r="B76" t="str">
        <f t="shared" si="1"/>
        <v>MATCH_075_RAISU</v>
      </c>
      <c r="C76" t="s">
        <v>40</v>
      </c>
      <c r="D76" t="s">
        <v>6</v>
      </c>
      <c r="E76" t="s">
        <v>23</v>
      </c>
      <c r="F76">
        <v>150</v>
      </c>
      <c r="G76">
        <v>12</v>
      </c>
      <c r="H76">
        <v>19</v>
      </c>
      <c r="I76">
        <v>2</v>
      </c>
      <c r="J76">
        <v>103</v>
      </c>
      <c r="K76">
        <v>26</v>
      </c>
      <c r="L76">
        <v>50</v>
      </c>
      <c r="M76">
        <v>2</v>
      </c>
      <c r="N76">
        <v>5</v>
      </c>
      <c r="O76">
        <v>0</v>
      </c>
    </row>
    <row r="77" spans="1:15" x14ac:dyDescent="0.2">
      <c r="A77">
        <v>76</v>
      </c>
      <c r="B77" t="str">
        <f t="shared" si="1"/>
        <v>MATCH_076_RAISU</v>
      </c>
      <c r="C77" t="s">
        <v>40</v>
      </c>
      <c r="D77" t="s">
        <v>20</v>
      </c>
      <c r="E77" t="s">
        <v>29</v>
      </c>
      <c r="F77">
        <v>139</v>
      </c>
      <c r="G77">
        <v>9</v>
      </c>
      <c r="H77">
        <v>19</v>
      </c>
      <c r="I77">
        <v>5</v>
      </c>
      <c r="J77">
        <v>106</v>
      </c>
      <c r="K77">
        <v>49</v>
      </c>
      <c r="L77">
        <v>61</v>
      </c>
      <c r="M77">
        <v>1</v>
      </c>
      <c r="N77">
        <v>4</v>
      </c>
      <c r="O77">
        <v>0</v>
      </c>
    </row>
    <row r="78" spans="1:15" x14ac:dyDescent="0.2">
      <c r="A78">
        <v>77</v>
      </c>
      <c r="B78" t="str">
        <f t="shared" si="1"/>
        <v>MATCH_077_RAISU</v>
      </c>
      <c r="C78" t="s">
        <v>40</v>
      </c>
      <c r="D78" t="s">
        <v>36</v>
      </c>
      <c r="E78" t="s">
        <v>41</v>
      </c>
      <c r="F78">
        <v>222</v>
      </c>
      <c r="G78">
        <v>15</v>
      </c>
      <c r="H78">
        <v>17</v>
      </c>
      <c r="I78">
        <v>7</v>
      </c>
      <c r="J78">
        <v>150.4</v>
      </c>
      <c r="K78">
        <v>30</v>
      </c>
      <c r="L78">
        <v>65</v>
      </c>
      <c r="M78">
        <v>0</v>
      </c>
      <c r="N78">
        <v>1</v>
      </c>
      <c r="O78">
        <v>3</v>
      </c>
    </row>
    <row r="79" spans="1:15" x14ac:dyDescent="0.2">
      <c r="A79">
        <v>78</v>
      </c>
      <c r="B79" t="str">
        <f t="shared" si="1"/>
        <v>MATCH_078_RAISU</v>
      </c>
      <c r="C79" t="s">
        <v>40</v>
      </c>
      <c r="D79" t="s">
        <v>30</v>
      </c>
      <c r="E79" t="s">
        <v>44</v>
      </c>
      <c r="F79">
        <v>260</v>
      </c>
      <c r="G79">
        <v>14</v>
      </c>
      <c r="H79">
        <v>5</v>
      </c>
      <c r="I79">
        <v>4</v>
      </c>
      <c r="J79">
        <v>174.1</v>
      </c>
      <c r="K79">
        <v>20</v>
      </c>
      <c r="L79">
        <v>93</v>
      </c>
      <c r="M79">
        <v>1</v>
      </c>
      <c r="N79">
        <v>0</v>
      </c>
      <c r="O79">
        <v>1</v>
      </c>
    </row>
    <row r="80" spans="1:15" x14ac:dyDescent="0.2">
      <c r="A80">
        <v>79</v>
      </c>
      <c r="B80" t="str">
        <f t="shared" si="1"/>
        <v>MATCH_079_RAISU</v>
      </c>
      <c r="C80" t="s">
        <v>40</v>
      </c>
      <c r="D80" t="s">
        <v>20</v>
      </c>
      <c r="E80" t="s">
        <v>21</v>
      </c>
      <c r="F80">
        <v>189</v>
      </c>
      <c r="G80">
        <v>10</v>
      </c>
      <c r="H80">
        <v>14</v>
      </c>
      <c r="I80">
        <v>3</v>
      </c>
      <c r="J80">
        <v>115.1</v>
      </c>
      <c r="K80">
        <v>15</v>
      </c>
      <c r="L80">
        <v>60</v>
      </c>
      <c r="M80">
        <v>2</v>
      </c>
      <c r="N80">
        <v>0</v>
      </c>
      <c r="O80">
        <v>1</v>
      </c>
    </row>
    <row r="81" spans="1:15" x14ac:dyDescent="0.2">
      <c r="A81">
        <v>80</v>
      </c>
      <c r="B81" t="str">
        <f t="shared" si="1"/>
        <v>MATCH_080_RAISU</v>
      </c>
      <c r="C81" t="s">
        <v>40</v>
      </c>
      <c r="D81" t="s">
        <v>6</v>
      </c>
      <c r="E81" t="s">
        <v>23</v>
      </c>
      <c r="F81">
        <v>228</v>
      </c>
      <c r="G81">
        <v>15</v>
      </c>
      <c r="H81">
        <v>12</v>
      </c>
      <c r="I81">
        <v>7</v>
      </c>
      <c r="J81">
        <v>152.5</v>
      </c>
      <c r="K81">
        <v>27</v>
      </c>
      <c r="L81">
        <v>78</v>
      </c>
      <c r="M81">
        <v>1</v>
      </c>
      <c r="N81">
        <v>3</v>
      </c>
      <c r="O81">
        <v>1</v>
      </c>
    </row>
    <row r="82" spans="1:15" x14ac:dyDescent="0.2">
      <c r="A82">
        <v>81</v>
      </c>
      <c r="B82" t="str">
        <f t="shared" si="1"/>
        <v>MATCH_081_RAISU</v>
      </c>
      <c r="C82" t="s">
        <v>40</v>
      </c>
      <c r="D82" t="s">
        <v>6</v>
      </c>
      <c r="E82" t="s">
        <v>23</v>
      </c>
      <c r="F82">
        <v>284</v>
      </c>
      <c r="G82">
        <v>18</v>
      </c>
      <c r="H82">
        <v>16</v>
      </c>
      <c r="I82">
        <v>3</v>
      </c>
      <c r="J82">
        <v>180.9</v>
      </c>
      <c r="K82">
        <v>21</v>
      </c>
      <c r="L82">
        <v>74</v>
      </c>
      <c r="M82">
        <v>4</v>
      </c>
      <c r="N82">
        <v>0</v>
      </c>
      <c r="O82">
        <v>1</v>
      </c>
    </row>
    <row r="83" spans="1:15" x14ac:dyDescent="0.2">
      <c r="A83">
        <v>82</v>
      </c>
      <c r="B83" t="str">
        <f t="shared" si="1"/>
        <v>MATCH_082_RAISU</v>
      </c>
      <c r="C83" t="s">
        <v>40</v>
      </c>
      <c r="D83" t="s">
        <v>20</v>
      </c>
      <c r="E83" t="s">
        <v>46</v>
      </c>
      <c r="F83">
        <v>268</v>
      </c>
      <c r="G83">
        <v>19</v>
      </c>
      <c r="H83">
        <v>17</v>
      </c>
      <c r="I83">
        <v>5</v>
      </c>
      <c r="J83">
        <v>170.9</v>
      </c>
      <c r="K83">
        <v>28</v>
      </c>
      <c r="L83">
        <v>71</v>
      </c>
      <c r="M83">
        <v>1</v>
      </c>
      <c r="N83">
        <v>2</v>
      </c>
      <c r="O83">
        <v>1</v>
      </c>
    </row>
    <row r="84" spans="1:15" x14ac:dyDescent="0.2">
      <c r="A84">
        <v>83</v>
      </c>
      <c r="B84" t="str">
        <f t="shared" si="1"/>
        <v>MATCH_083_RAISU</v>
      </c>
      <c r="C84" t="s">
        <v>40</v>
      </c>
      <c r="D84" t="s">
        <v>30</v>
      </c>
      <c r="E84" t="s">
        <v>44</v>
      </c>
      <c r="F84">
        <v>225</v>
      </c>
      <c r="G84">
        <v>19</v>
      </c>
      <c r="H84">
        <v>18</v>
      </c>
      <c r="I84">
        <v>8</v>
      </c>
      <c r="J84">
        <v>152.9</v>
      </c>
      <c r="K84">
        <v>25</v>
      </c>
      <c r="L84">
        <v>79</v>
      </c>
      <c r="M84">
        <v>3</v>
      </c>
      <c r="N84">
        <v>1</v>
      </c>
      <c r="O84">
        <v>1</v>
      </c>
    </row>
    <row r="85" spans="1:15" x14ac:dyDescent="0.2">
      <c r="A85">
        <v>84</v>
      </c>
      <c r="B85" t="str">
        <f t="shared" si="1"/>
        <v>MATCH_084_RAISU</v>
      </c>
      <c r="C85" t="s">
        <v>40</v>
      </c>
      <c r="D85" t="s">
        <v>36</v>
      </c>
      <c r="E85" t="s">
        <v>41</v>
      </c>
      <c r="F85">
        <v>180</v>
      </c>
      <c r="G85">
        <v>12</v>
      </c>
      <c r="H85">
        <v>21</v>
      </c>
      <c r="I85">
        <v>12</v>
      </c>
      <c r="J85">
        <v>123.3</v>
      </c>
      <c r="K85">
        <v>31</v>
      </c>
      <c r="L85">
        <v>77</v>
      </c>
      <c r="M85">
        <v>0</v>
      </c>
      <c r="N85">
        <v>1</v>
      </c>
      <c r="O85">
        <v>0</v>
      </c>
    </row>
    <row r="86" spans="1:15" x14ac:dyDescent="0.2">
      <c r="A86">
        <v>85</v>
      </c>
      <c r="B86" t="str">
        <f t="shared" si="1"/>
        <v>MATCH_085_RAISU</v>
      </c>
      <c r="C86" t="s">
        <v>40</v>
      </c>
      <c r="D86" t="s">
        <v>36</v>
      </c>
      <c r="E86" t="s">
        <v>42</v>
      </c>
      <c r="F86">
        <v>226</v>
      </c>
      <c r="G86">
        <v>15</v>
      </c>
      <c r="H86">
        <v>17</v>
      </c>
      <c r="I86">
        <v>7</v>
      </c>
      <c r="J86">
        <v>144.19999999999999</v>
      </c>
      <c r="K86">
        <v>29</v>
      </c>
      <c r="L86">
        <v>60</v>
      </c>
      <c r="M86">
        <v>2</v>
      </c>
      <c r="N86">
        <v>0</v>
      </c>
      <c r="O86">
        <v>1</v>
      </c>
    </row>
    <row r="87" spans="1:15" x14ac:dyDescent="0.2">
      <c r="A87">
        <v>86</v>
      </c>
      <c r="B87" t="str">
        <f t="shared" si="1"/>
        <v>MATCH_086_RAISU</v>
      </c>
      <c r="C87" t="s">
        <v>40</v>
      </c>
      <c r="D87" t="s">
        <v>6</v>
      </c>
      <c r="E87" t="s">
        <v>39</v>
      </c>
      <c r="F87">
        <v>75</v>
      </c>
      <c r="G87">
        <v>6</v>
      </c>
      <c r="H87">
        <v>19</v>
      </c>
      <c r="I87">
        <v>2</v>
      </c>
      <c r="J87">
        <v>55.4</v>
      </c>
      <c r="K87">
        <v>20</v>
      </c>
      <c r="L87">
        <v>50</v>
      </c>
      <c r="M87">
        <v>0</v>
      </c>
      <c r="N87">
        <v>4</v>
      </c>
      <c r="O87">
        <v>0</v>
      </c>
    </row>
    <row r="88" spans="1:15" x14ac:dyDescent="0.2">
      <c r="A88">
        <v>87</v>
      </c>
      <c r="B88" t="str">
        <f t="shared" si="1"/>
        <v>MATCH_087_RAISU</v>
      </c>
      <c r="C88" t="s">
        <v>40</v>
      </c>
      <c r="D88" t="s">
        <v>30</v>
      </c>
      <c r="E88" t="s">
        <v>44</v>
      </c>
      <c r="F88">
        <v>170</v>
      </c>
      <c r="G88">
        <v>12</v>
      </c>
      <c r="H88">
        <v>16</v>
      </c>
      <c r="I88">
        <v>3</v>
      </c>
      <c r="J88">
        <v>101.3</v>
      </c>
      <c r="K88">
        <v>18</v>
      </c>
      <c r="L88">
        <v>65</v>
      </c>
      <c r="M88">
        <v>1</v>
      </c>
      <c r="N88">
        <v>0</v>
      </c>
      <c r="O88">
        <v>0</v>
      </c>
    </row>
    <row r="89" spans="1:15" x14ac:dyDescent="0.2">
      <c r="A89">
        <v>88</v>
      </c>
      <c r="B89" t="str">
        <f t="shared" si="1"/>
        <v>MATCH_088_RAISU</v>
      </c>
      <c r="C89" t="s">
        <v>40</v>
      </c>
      <c r="D89" t="s">
        <v>36</v>
      </c>
      <c r="E89" t="s">
        <v>42</v>
      </c>
      <c r="F89">
        <v>162</v>
      </c>
      <c r="G89">
        <v>17</v>
      </c>
      <c r="H89">
        <v>24</v>
      </c>
      <c r="I89">
        <v>11</v>
      </c>
      <c r="J89">
        <v>101.3</v>
      </c>
      <c r="K89">
        <v>18</v>
      </c>
      <c r="L89">
        <v>63</v>
      </c>
      <c r="M89">
        <v>1</v>
      </c>
      <c r="N89">
        <v>5</v>
      </c>
      <c r="O89">
        <v>0</v>
      </c>
    </row>
    <row r="90" spans="1:15" x14ac:dyDescent="0.2">
      <c r="A90">
        <v>89</v>
      </c>
      <c r="B90" t="str">
        <f t="shared" si="1"/>
        <v>MATCH_089_RAISU</v>
      </c>
      <c r="C90" t="s">
        <v>40</v>
      </c>
      <c r="D90" t="s">
        <v>36</v>
      </c>
      <c r="E90" t="s">
        <v>41</v>
      </c>
      <c r="F90">
        <v>285</v>
      </c>
      <c r="G90">
        <v>20</v>
      </c>
      <c r="H90">
        <v>13</v>
      </c>
      <c r="I90">
        <v>8</v>
      </c>
      <c r="J90">
        <v>204.8</v>
      </c>
      <c r="K90">
        <v>30</v>
      </c>
      <c r="L90">
        <v>89</v>
      </c>
      <c r="M90">
        <v>3</v>
      </c>
      <c r="N90">
        <v>2</v>
      </c>
      <c r="O90">
        <v>3</v>
      </c>
    </row>
    <row r="91" spans="1:15" x14ac:dyDescent="0.2">
      <c r="A91">
        <v>90</v>
      </c>
      <c r="B91" t="str">
        <f t="shared" si="1"/>
        <v>MATCH_090_RAISU</v>
      </c>
      <c r="C91" t="s">
        <v>40</v>
      </c>
      <c r="D91" t="s">
        <v>6</v>
      </c>
      <c r="E91" t="s">
        <v>47</v>
      </c>
      <c r="F91">
        <v>241</v>
      </c>
      <c r="G91">
        <v>25</v>
      </c>
      <c r="H91">
        <v>24</v>
      </c>
      <c r="I91">
        <v>7</v>
      </c>
      <c r="J91">
        <v>169.4</v>
      </c>
      <c r="K91">
        <v>30</v>
      </c>
      <c r="L91">
        <v>61</v>
      </c>
      <c r="M91">
        <v>1</v>
      </c>
      <c r="N91">
        <v>10</v>
      </c>
      <c r="O91">
        <v>4</v>
      </c>
    </row>
    <row r="92" spans="1:15" x14ac:dyDescent="0.2">
      <c r="A92">
        <v>91</v>
      </c>
      <c r="B92" t="str">
        <f t="shared" si="1"/>
        <v>MATCH_091_RAISU</v>
      </c>
      <c r="C92" t="s">
        <v>40</v>
      </c>
      <c r="D92" t="s">
        <v>20</v>
      </c>
      <c r="E92" t="s">
        <v>45</v>
      </c>
      <c r="F92">
        <v>233</v>
      </c>
      <c r="G92">
        <v>16</v>
      </c>
      <c r="H92">
        <v>11</v>
      </c>
      <c r="I92">
        <v>10</v>
      </c>
      <c r="J92">
        <v>167.8</v>
      </c>
      <c r="K92">
        <v>16</v>
      </c>
      <c r="L92">
        <v>81</v>
      </c>
      <c r="M92">
        <v>2</v>
      </c>
      <c r="N92">
        <v>2</v>
      </c>
      <c r="O92">
        <v>2</v>
      </c>
    </row>
    <row r="93" spans="1:15" x14ac:dyDescent="0.2">
      <c r="A93">
        <v>92</v>
      </c>
      <c r="B93" t="str">
        <f t="shared" si="1"/>
        <v>MATCH_092_RAISU</v>
      </c>
      <c r="C93" t="s">
        <v>40</v>
      </c>
      <c r="D93" t="s">
        <v>6</v>
      </c>
      <c r="E93" t="s">
        <v>39</v>
      </c>
      <c r="F93">
        <v>408</v>
      </c>
      <c r="G93">
        <v>33</v>
      </c>
      <c r="H93">
        <v>14</v>
      </c>
      <c r="I93">
        <v>6</v>
      </c>
      <c r="J93">
        <v>260.39999999999998</v>
      </c>
      <c r="K93">
        <v>11</v>
      </c>
      <c r="L93">
        <v>77</v>
      </c>
      <c r="M93">
        <v>7</v>
      </c>
      <c r="N93">
        <v>1</v>
      </c>
      <c r="O93">
        <v>3</v>
      </c>
    </row>
    <row r="94" spans="1:15" x14ac:dyDescent="0.2">
      <c r="A94">
        <v>93</v>
      </c>
      <c r="B94" t="str">
        <f t="shared" si="1"/>
        <v>MATCH_093_RAISU</v>
      </c>
      <c r="C94" t="s">
        <v>40</v>
      </c>
      <c r="D94" t="s">
        <v>6</v>
      </c>
      <c r="E94" t="s">
        <v>23</v>
      </c>
      <c r="F94">
        <v>336</v>
      </c>
      <c r="G94">
        <v>22</v>
      </c>
      <c r="H94">
        <v>5</v>
      </c>
      <c r="I94">
        <v>2</v>
      </c>
      <c r="J94">
        <v>202.5</v>
      </c>
      <c r="K94">
        <v>17</v>
      </c>
      <c r="L94">
        <v>88</v>
      </c>
      <c r="M94">
        <v>7</v>
      </c>
      <c r="N94">
        <v>0</v>
      </c>
      <c r="O94">
        <v>3</v>
      </c>
    </row>
    <row r="95" spans="1:15" x14ac:dyDescent="0.2">
      <c r="A95">
        <v>94</v>
      </c>
      <c r="B95" t="str">
        <f t="shared" si="1"/>
        <v>MATCH_094_RAISU</v>
      </c>
      <c r="C95" t="s">
        <v>40</v>
      </c>
      <c r="D95" t="s">
        <v>6</v>
      </c>
      <c r="E95" t="s">
        <v>23</v>
      </c>
      <c r="F95">
        <v>171</v>
      </c>
      <c r="G95">
        <v>9</v>
      </c>
      <c r="H95">
        <v>16</v>
      </c>
      <c r="I95">
        <v>5</v>
      </c>
      <c r="J95">
        <v>114.3</v>
      </c>
      <c r="K95">
        <v>17</v>
      </c>
      <c r="L95">
        <v>67</v>
      </c>
      <c r="M95">
        <v>2</v>
      </c>
      <c r="N95">
        <v>6</v>
      </c>
      <c r="O95">
        <v>1</v>
      </c>
    </row>
    <row r="96" spans="1:15" x14ac:dyDescent="0.2">
      <c r="A96">
        <v>95</v>
      </c>
      <c r="B96" t="str">
        <f t="shared" si="1"/>
        <v>MATCH_095_RAISU</v>
      </c>
      <c r="C96" t="s">
        <v>40</v>
      </c>
      <c r="D96" t="s">
        <v>6</v>
      </c>
      <c r="E96" t="s">
        <v>23</v>
      </c>
      <c r="F96">
        <v>256</v>
      </c>
      <c r="G96">
        <v>16</v>
      </c>
      <c r="H96">
        <v>15</v>
      </c>
      <c r="I96">
        <v>2</v>
      </c>
      <c r="J96">
        <v>173.8</v>
      </c>
      <c r="K96">
        <v>22</v>
      </c>
      <c r="L96">
        <v>83</v>
      </c>
      <c r="M96">
        <v>6</v>
      </c>
      <c r="N96">
        <v>2</v>
      </c>
      <c r="O96">
        <v>0</v>
      </c>
    </row>
    <row r="97" spans="1:15" x14ac:dyDescent="0.2">
      <c r="A97">
        <v>96</v>
      </c>
      <c r="B97" t="str">
        <f t="shared" si="1"/>
        <v>MATCH_096_RAISU</v>
      </c>
      <c r="C97" t="s">
        <v>40</v>
      </c>
      <c r="D97" t="s">
        <v>30</v>
      </c>
      <c r="E97" t="s">
        <v>44</v>
      </c>
      <c r="F97">
        <v>118</v>
      </c>
      <c r="G97">
        <v>7</v>
      </c>
      <c r="H97">
        <v>18</v>
      </c>
      <c r="I97">
        <v>7</v>
      </c>
      <c r="J97">
        <v>94.6</v>
      </c>
      <c r="K97">
        <v>15</v>
      </c>
      <c r="L97">
        <v>68</v>
      </c>
      <c r="M97">
        <v>2</v>
      </c>
      <c r="N97">
        <v>1</v>
      </c>
      <c r="O97">
        <v>0</v>
      </c>
    </row>
    <row r="98" spans="1:15" x14ac:dyDescent="0.2">
      <c r="A98">
        <v>97</v>
      </c>
      <c r="B98" t="str">
        <f t="shared" si="1"/>
        <v>MATCH_097_RAISU</v>
      </c>
      <c r="C98" t="s">
        <v>40</v>
      </c>
      <c r="D98" t="s">
        <v>20</v>
      </c>
      <c r="E98" t="s">
        <v>45</v>
      </c>
      <c r="F98">
        <v>229</v>
      </c>
      <c r="G98">
        <v>14</v>
      </c>
      <c r="H98">
        <v>13</v>
      </c>
      <c r="I98">
        <v>2</v>
      </c>
      <c r="J98">
        <v>133.69999999999999</v>
      </c>
      <c r="K98">
        <v>22</v>
      </c>
      <c r="L98">
        <v>44</v>
      </c>
      <c r="M98">
        <v>1</v>
      </c>
      <c r="N98">
        <v>0</v>
      </c>
      <c r="O98">
        <v>4</v>
      </c>
    </row>
    <row r="99" spans="1:15" x14ac:dyDescent="0.2">
      <c r="A99">
        <v>98</v>
      </c>
      <c r="B99" t="str">
        <f t="shared" si="1"/>
        <v>MATCH_098_RAISU</v>
      </c>
      <c r="C99" t="s">
        <v>40</v>
      </c>
      <c r="D99" t="s">
        <v>20</v>
      </c>
      <c r="E99" t="s">
        <v>34</v>
      </c>
      <c r="F99">
        <v>172</v>
      </c>
      <c r="G99">
        <v>12</v>
      </c>
      <c r="H99">
        <v>15</v>
      </c>
      <c r="I99">
        <v>13</v>
      </c>
      <c r="J99">
        <v>108</v>
      </c>
      <c r="K99">
        <v>15</v>
      </c>
      <c r="L99">
        <v>90</v>
      </c>
      <c r="M99">
        <v>1</v>
      </c>
      <c r="N99">
        <v>1</v>
      </c>
      <c r="O99">
        <v>2</v>
      </c>
    </row>
    <row r="100" spans="1:15" x14ac:dyDescent="0.2">
      <c r="A100">
        <v>99</v>
      </c>
      <c r="B100" t="str">
        <f t="shared" si="1"/>
        <v>MATCH_099_RAISU</v>
      </c>
      <c r="C100" t="s">
        <v>40</v>
      </c>
      <c r="D100" t="s">
        <v>6</v>
      </c>
      <c r="E100" t="s">
        <v>5</v>
      </c>
      <c r="F100">
        <v>214</v>
      </c>
      <c r="G100">
        <v>15</v>
      </c>
      <c r="H100">
        <v>18</v>
      </c>
      <c r="I100">
        <v>8</v>
      </c>
      <c r="J100">
        <v>153.5</v>
      </c>
      <c r="K100">
        <v>22</v>
      </c>
      <c r="L100">
        <v>61</v>
      </c>
      <c r="M100">
        <v>3</v>
      </c>
      <c r="N100">
        <v>6</v>
      </c>
      <c r="O100">
        <v>1</v>
      </c>
    </row>
    <row r="101" spans="1:15" x14ac:dyDescent="0.2">
      <c r="A101">
        <v>100</v>
      </c>
      <c r="B101" t="str">
        <f>"MATCH_" &amp; TEXT(ROW()-1, "000") &amp; "_RAISU"</f>
        <v>MATCH_100_RAISU</v>
      </c>
      <c r="C101" t="s">
        <v>40</v>
      </c>
      <c r="D101" t="s">
        <v>6</v>
      </c>
      <c r="E101" t="s">
        <v>23</v>
      </c>
      <c r="F101">
        <v>120</v>
      </c>
      <c r="G101">
        <v>5</v>
      </c>
      <c r="H101">
        <v>14</v>
      </c>
      <c r="I101">
        <v>1</v>
      </c>
      <c r="J101">
        <v>75.3</v>
      </c>
      <c r="K101">
        <v>7</v>
      </c>
      <c r="L101">
        <v>36</v>
      </c>
      <c r="M101">
        <v>1</v>
      </c>
      <c r="N101">
        <v>5</v>
      </c>
      <c r="O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Damo, Kira</dc:creator>
  <cp:lastModifiedBy>Damo, Kira</cp:lastModifiedBy>
  <dcterms:created xsi:type="dcterms:W3CDTF">2025-11-27T04:05:51Z</dcterms:created>
  <dcterms:modified xsi:type="dcterms:W3CDTF">2025-12-02T22:17:13Z</dcterms:modified>
</cp:coreProperties>
</file>